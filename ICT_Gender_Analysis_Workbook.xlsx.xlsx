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uroramichielin/Desktop/"/>
    </mc:Choice>
  </mc:AlternateContent>
  <xr:revisionPtr revIDLastSave="0" documentId="13_ncr:1_{5F069F66-F969-4D4D-8BCD-0DEA7594FA7B}" xr6:coauthVersionLast="47" xr6:coauthVersionMax="47" xr10:uidLastSave="{00000000-0000-0000-0000-000000000000}"/>
  <bookViews>
    <workbookView xWindow="3460" yWindow="500" windowWidth="28800" windowHeight="16300" activeTab="4" xr2:uid="{327F0AA5-57AC-A84A-9926-F7DEAA40B121}"/>
  </bookViews>
  <sheets>
    <sheet name="UE 2023 Distribution of ICT spe" sheetId="6" r:id="rId1"/>
    <sheet name="UE 2013-2023" sheetId="7" r:id="rId2"/>
    <sheet name="ILO UE  2022" sheetId="20" r:id="rId3"/>
    <sheet name="ILO UE 2014" sheetId="21" r:id="rId4"/>
    <sheet name="tertiary education students" sheetId="11" r:id="rId5"/>
    <sheet name="Female share" sheetId="23" r:id="rId6"/>
  </sheets>
  <definedNames>
    <definedName name="_xlchart.v1.0" hidden="1">'UE 2023 Distribution of ICT spe'!$B$31</definedName>
    <definedName name="_xlchart.v1.1" hidden="1">'UE 2023 Distribution of ICT spe'!$C$30:$D$30</definedName>
    <definedName name="_xlchart.v1.2" hidden="1">'UE 2023 Distribution of ICT spe'!$C$31:$D$31</definedName>
    <definedName name="ilo_ue_cvs" localSheetId="2">'ILO UE  2022'!$A$1:$H$628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23" l="1"/>
  <c r="C31" i="6"/>
  <c r="D31" i="6"/>
  <c r="D35" i="7"/>
  <c r="C35" i="7"/>
  <c r="F35" i="7"/>
  <c r="E35" i="7"/>
  <c r="D34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A9AD3-BC56-D144-B1B4-9D68A603B4EF}" name="ilo ue cvs1" type="6" refreshedVersion="8" background="1" saveData="1">
    <textPr codePage="65001" sourceFile="/Users/auroramichielin/Desktop/ARCHITETTURA DELL'INFORMAZIONE DATA VIS/PROGETTO DATA VIS/ilo ue cvs.csv" decimal="," thousands="." comma="1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<sst xmlns="http://schemas.openxmlformats.org/spreadsheetml/2006/main" count="4616" uniqueCount="241">
  <si>
    <t>source.label</t>
  </si>
  <si>
    <t>sex.label</t>
  </si>
  <si>
    <t>time</t>
  </si>
  <si>
    <t>obs_value</t>
  </si>
  <si>
    <t>LFS - Employment Survey</t>
  </si>
  <si>
    <t>Sex: Male</t>
  </si>
  <si>
    <t>Sex: Female</t>
  </si>
  <si>
    <t>LFS - Labour Force Survey</t>
  </si>
  <si>
    <t>1.45</t>
  </si>
  <si>
    <t>0.52</t>
  </si>
  <si>
    <t>1.25</t>
  </si>
  <si>
    <t>55.98</t>
  </si>
  <si>
    <t>53.08</t>
  </si>
  <si>
    <t>LFS - EU Labour Force Survey</t>
  </si>
  <si>
    <t>14.66</t>
  </si>
  <si>
    <t>6.12</t>
  </si>
  <si>
    <t>3.97</t>
  </si>
  <si>
    <t>LFS - Labour Force Sample Survey</t>
  </si>
  <si>
    <t>70.76</t>
  </si>
  <si>
    <t>399.77</t>
  </si>
  <si>
    <t>42.33</t>
  </si>
  <si>
    <t>277.72</t>
  </si>
  <si>
    <t>99.18</t>
  </si>
  <si>
    <t>253.77</t>
  </si>
  <si>
    <t>5.19</t>
  </si>
  <si>
    <t>16.94</t>
  </si>
  <si>
    <t>13.18</t>
  </si>
  <si>
    <t>13.97</t>
  </si>
  <si>
    <t>363.94</t>
  </si>
  <si>
    <t>294.81</t>
  </si>
  <si>
    <t>260.36</t>
  </si>
  <si>
    <t>549.66</t>
  </si>
  <si>
    <t>140.35</t>
  </si>
  <si>
    <t>13.41</t>
  </si>
  <si>
    <t>17.53</t>
  </si>
  <si>
    <t>4.84</t>
  </si>
  <si>
    <t>3.46</t>
  </si>
  <si>
    <t>41.49</t>
  </si>
  <si>
    <t>56.88</t>
  </si>
  <si>
    <t>21.65</t>
  </si>
  <si>
    <t>20.62</t>
  </si>
  <si>
    <t>46.35</t>
  </si>
  <si>
    <t>3.54</t>
  </si>
  <si>
    <t>0.18</t>
  </si>
  <si>
    <t>7.76</t>
  </si>
  <si>
    <t>9.52</t>
  </si>
  <si>
    <t>3.05</t>
  </si>
  <si>
    <t>0.45</t>
  </si>
  <si>
    <t>9.2</t>
  </si>
  <si>
    <t>260.62</t>
  </si>
  <si>
    <t>49.71</t>
  </si>
  <si>
    <t>16.56</t>
  </si>
  <si>
    <t>LFS - Household Labour Force Survey</t>
  </si>
  <si>
    <t>17.6</t>
  </si>
  <si>
    <t>37.03</t>
  </si>
  <si>
    <t>13.07</t>
  </si>
  <si>
    <t>48.94</t>
  </si>
  <si>
    <t>15.56</t>
  </si>
  <si>
    <t>3.58</t>
  </si>
  <si>
    <t>12.24</t>
  </si>
  <si>
    <t>10.85</t>
  </si>
  <si>
    <t>123.95</t>
  </si>
  <si>
    <t>ref_area.label</t>
  </si>
  <si>
    <t>Albania</t>
  </si>
  <si>
    <t>Austria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</si>
  <si>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</si>
  <si>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</si>
  <si>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</si>
  <si>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</si>
  <si>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</si>
  <si>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</si>
  <si>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</si>
  <si>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</si>
  <si>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</si>
  <si>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</si>
  <si>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</si>
  <si>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</si>
  <si>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</si>
  <si>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</si>
  <si>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Greece</t>
  </si>
  <si>
    <t>Croatia</t>
  </si>
  <si>
    <t>Hungary</t>
  </si>
  <si>
    <t>Ireland</t>
  </si>
  <si>
    <t>Iceland</t>
  </si>
  <si>
    <t>Italy</t>
  </si>
  <si>
    <t>Kosovo</t>
  </si>
  <si>
    <t>Lithuania</t>
  </si>
  <si>
    <t>Luxembourg</t>
  </si>
  <si>
    <t>Latvia</t>
  </si>
  <si>
    <t>North Macedonia</t>
  </si>
  <si>
    <t>Malta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</si>
  <si>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</si>
  <si>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</si>
  <si>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</si>
  <si>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</si>
  <si>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</si>
  <si>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</si>
  <si>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</si>
  <si>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</si>
  <si>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Sweden</t>
  </si>
  <si>
    <t>Ukraine</t>
  </si>
  <si>
    <t>Men</t>
  </si>
  <si>
    <t>Women</t>
  </si>
  <si>
    <t>Malta (¹)</t>
  </si>
  <si>
    <t>Croatia (¹)</t>
  </si>
  <si>
    <t>Lithuania (¹)</t>
  </si>
  <si>
    <t>Malta (¹)(²)</t>
  </si>
  <si>
    <t>Slovenia (¹)</t>
  </si>
  <si>
    <t>indicator.label</t>
  </si>
  <si>
    <t>classif1.label</t>
  </si>
  <si>
    <t>note_source.label</t>
  </si>
  <si>
    <t>Employment by sex and economic activity - ISIC level 2 (thousands)</t>
  </si>
  <si>
    <t>Economic activity (ISIC-Rev.4), 2 digit level: 62 - Computer programming, consultancy and related activities</t>
  </si>
  <si>
    <t>Repository: ILO-STATISTICS - Micro data processing</t>
  </si>
  <si>
    <t>0.381</t>
  </si>
  <si>
    <t>0.998</t>
  </si>
  <si>
    <t>0.354</t>
  </si>
  <si>
    <t>0.555</t>
  </si>
  <si>
    <t>0.896</t>
  </si>
  <si>
    <t>0.246</t>
  </si>
  <si>
    <t>0.581</t>
  </si>
  <si>
    <t>Repository: Eurostat special tabulation</t>
  </si>
  <si>
    <t>0.807</t>
  </si>
  <si>
    <t>Repository: ILO-STATISTICS - Micro data processing | Employment definition: Excluding own-use production workers</t>
  </si>
  <si>
    <t>0.593</t>
  </si>
  <si>
    <t>0.803</t>
  </si>
  <si>
    <t>Repository: ILO-STATISTICS - Micro data processing | Age coverage - maximum age: 74 years old</t>
  </si>
  <si>
    <t>0.788</t>
  </si>
  <si>
    <t>0.786</t>
  </si>
  <si>
    <t>0.513</t>
  </si>
  <si>
    <t>0.759</t>
  </si>
  <si>
    <t>0.303</t>
  </si>
  <si>
    <t>0.112</t>
  </si>
  <si>
    <t>0.262</t>
  </si>
  <si>
    <t>0.461</t>
  </si>
  <si>
    <t>0.525</t>
  </si>
  <si>
    <t>0.971</t>
  </si>
  <si>
    <t>0.857</t>
  </si>
  <si>
    <t>0.729</t>
  </si>
  <si>
    <t>0.746</t>
  </si>
  <si>
    <t>0.779</t>
  </si>
  <si>
    <t>0.964</t>
  </si>
  <si>
    <t>0.819</t>
  </si>
  <si>
    <t>0.706</t>
  </si>
  <si>
    <t>0.831</t>
  </si>
  <si>
    <t>0.698</t>
  </si>
  <si>
    <t>0.825</t>
  </si>
  <si>
    <t>0.632</t>
  </si>
  <si>
    <t>MEDIA UE</t>
  </si>
  <si>
    <t>uomini</t>
  </si>
  <si>
    <t>donne</t>
  </si>
  <si>
    <t>PIU' DONNE</t>
  </si>
  <si>
    <t>BULGARIA</t>
  </si>
  <si>
    <t>MENO DONNE</t>
  </si>
  <si>
    <t>CZECHIA</t>
  </si>
  <si>
    <t>UE</t>
  </si>
  <si>
    <t>MEN 2013</t>
  </si>
  <si>
    <t>WOMEN 2013</t>
  </si>
  <si>
    <t>MEN 2023</t>
  </si>
  <si>
    <t>WOMAN 2023</t>
  </si>
  <si>
    <t>women</t>
  </si>
  <si>
    <t xml:space="preserve">men </t>
  </si>
  <si>
    <t>Male</t>
  </si>
  <si>
    <t>Female</t>
  </si>
  <si>
    <t>Business, administration and law</t>
  </si>
  <si>
    <t>Engineering, manufacturing and construction</t>
  </si>
  <si>
    <t>Health and welfare</t>
  </si>
  <si>
    <t>Arts and humanities</t>
  </si>
  <si>
    <t>Social sciences, journalism and information</t>
  </si>
  <si>
    <t>Education</t>
  </si>
  <si>
    <t>Natural sciences, mathematics and statistics</t>
  </si>
  <si>
    <t>Information and communication technologies</t>
  </si>
  <si>
    <t>Services</t>
  </si>
  <si>
    <t>Agriculture, forestry, fisheries and veterinary</t>
  </si>
  <si>
    <t>Unknown</t>
  </si>
  <si>
    <t>Generic programmes and qualifications</t>
  </si>
  <si>
    <r>
      <t>Source:</t>
    </r>
    <r>
      <rPr>
        <sz val="10"/>
        <rFont val="Arial"/>
        <family val="2"/>
      </rPr>
      <t xml:space="preserve"> Eurostat (online data code: educ_uoe_enrt03)</t>
    </r>
  </si>
  <si>
    <t>Etichette di colonna</t>
  </si>
  <si>
    <t>Etichette di riga</t>
  </si>
  <si>
    <t>Totale complessivo</t>
  </si>
  <si>
    <t>Somma di obs_value</t>
  </si>
  <si>
    <t>Series Name</t>
  </si>
  <si>
    <t>Series Code</t>
  </si>
  <si>
    <t>Country Name</t>
  </si>
  <si>
    <t>Country Code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</si>
  <si>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</si>
  <si>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</si>
  <si>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</si>
  <si>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</si>
  <si>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</si>
  <si>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</si>
  <si>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</si>
  <si>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</si>
  <si>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</si>
  <si>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Female share of graduates in Information and Communication Technologies programmes, tertiary (%)</t>
  </si>
  <si>
    <t>UIS.FGP.5T8.F600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</si>
  <si>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</si>
  <si>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</si>
  <si>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</si>
  <si>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</si>
  <si>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</si>
  <si>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</si>
  <si>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</si>
  <si>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</si>
  <si>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</si>
  <si>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</si>
  <si>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</si>
  <si>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</si>
  <si>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</si>
  <si>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</si>
  <si>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</si>
  <si>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</si>
  <si>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MLT</t>
  </si>
  <si>
    <t>NLD</t>
  </si>
  <si>
    <t>POL</t>
  </si>
  <si>
    <t>PRT</t>
  </si>
  <si>
    <t>ROU</t>
  </si>
  <si>
    <t>Slovak Republic</t>
  </si>
  <si>
    <t>SVK</t>
  </si>
  <si>
    <t>SVN</t>
  </si>
  <si>
    <t>ESP</t>
  </si>
  <si>
    <t>SWE</t>
  </si>
  <si>
    <t>Data from database: Gender Statistics</t>
  </si>
  <si>
    <t>Last Updated: 03/05/2025</t>
  </si>
  <si>
    <t>-</t>
  </si>
  <si>
    <t>SEX</t>
  </si>
  <si>
    <t>%</t>
  </si>
  <si>
    <t>FEMALE 2014</t>
  </si>
  <si>
    <t>MALE 2014</t>
  </si>
  <si>
    <t>MALE 2022</t>
  </si>
  <si>
    <t>FEMALE 2022</t>
  </si>
  <si>
    <t>UOMINI</t>
  </si>
  <si>
    <t xml:space="preserve">UOMINI </t>
  </si>
  <si>
    <t>SEX 2014</t>
  </si>
  <si>
    <t>DONNE</t>
  </si>
  <si>
    <t>SEX 2022</t>
  </si>
  <si>
    <t>link: https://databank.worldbank.org/source/gender-statistics#</t>
  </si>
  <si>
    <t>source link: https://ec.europa.eu/eurostat/statistics-explained/images/3/33/ICT_specialists_in_employment_ICT2024.xlsx</t>
  </si>
  <si>
    <t>source link 2: https://rplumber.ilo.org/data/indicator/?id=EMP_TEMP_SEX_EC2_NB_A&amp;ref_area=ALB+AUT+BLR+BEL+BIH+BGR+HRV+CZE+DNK+EST+FIN+FRA+DEU+GRC+HUN+ISL+IRL+ITA+KOS+LVA+LTU+LUX+MLT+NLD+MKD+NOR+POL+PRT+ROU+SRB+SVK+SVN+ESP+SWE+CHE+UKR+GBR&amp;sex=SEX_M+SEX_F&amp;classif1=EC2_ISIC4_J62&amp;timefrom=2014&amp;type=label&amp;format=.csv</t>
  </si>
  <si>
    <t>source link: https://rshiny.ilo.org/dataexplorer13/?lang=en&amp;id=EMP_TEMP_SEX_EC2_NB_A</t>
  </si>
  <si>
    <t>source link: https://ec.europa.eu/eurostat/statistics-explained/index.php?title=Tertiary_education_statistics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</si>
</sst>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_i"/>
    <numFmt numFmtId="165" formatCode="0.0"/>
    <numFmt numFmtId="166" formatCode="0.00000"/>
    <numFmt numFmtId="167" formatCode="_-* #,##0.000_-;\-* #,##0.000_-;_-* &quot;-&quot;??_-;_-@_-"/>
    <numFmt numFmtId="168" formatCode="#,##0.000"/>
  </numFmts>
  <fonts count="1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i/>
      <sz val="1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rgb="FFA6A6A6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rgb="FFC0C0C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/>
      <diagonal/>
    </border>
    <border>
      <left/>
      <right/>
      <top style="thin">
        <color indexed="64"/>
      </top>
      <bottom/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1" fillId="0" borderId="1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164" fontId="3" fillId="0" borderId="9" xfId="0" applyNumberFormat="1" applyFont="1" applyBorder="1" applyAlignment="1">
      <alignment horizontal="center" vertical="top"/>
    </xf>
    <xf numFmtId="164" fontId="3" fillId="0" borderId="8" xfId="0" applyNumberFormat="1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164" fontId="3" fillId="0" borderId="11" xfId="0" applyNumberFormat="1" applyFont="1" applyBorder="1" applyAlignment="1">
      <alignment horizontal="center" vertical="top"/>
    </xf>
    <xf numFmtId="164" fontId="3" fillId="0" borderId="10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164" fontId="3" fillId="0" borderId="13" xfId="0" applyNumberFormat="1" applyFont="1" applyBorder="1" applyAlignment="1">
      <alignment horizontal="center" vertical="top"/>
    </xf>
    <xf numFmtId="164" fontId="3" fillId="0" borderId="12" xfId="0" applyNumberFormat="1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14" xfId="0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8" xfId="0" applyBorder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167" fontId="0" fillId="0" borderId="0" xfId="1" applyNumberFormat="1" applyFont="1"/>
    <xf numFmtId="168" fontId="0" fillId="0" borderId="0" xfId="0" applyNumberFormat="1"/>
    <xf numFmtId="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0" borderId="0" xfId="0" applyNumberFormat="1"/>
    <xf numFmtId="49" fontId="0" fillId="0" borderId="0" xfId="0" applyNumberFormat="1"/>
    <xf numFmtId="10" fontId="12" fillId="5" borderId="19" xfId="0" applyNumberFormat="1" applyFont="1" applyFill="1" applyBorder="1"/>
    <xf numFmtId="165" fontId="0" fillId="0" borderId="14" xfId="0" applyNumberFormat="1" applyBorder="1"/>
    <xf numFmtId="10" fontId="12" fillId="0" borderId="19" xfId="0" applyNumberFormat="1" applyFont="1" applyBorder="1"/>
    <xf numFmtId="0" fontId="11" fillId="0" borderId="0" xfId="0" applyFont="1"/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5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Distribution</a:t>
            </a:r>
            <a:r>
              <a:rPr lang="it-IT" baseline="0"/>
              <a:t> of ICT specialist by sex, 2023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uomini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'UE 2023 Distribution of ICT spe'!$B$2:$B$28</c:f>
              <c:strCache>
                <c:ptCount val="27"/>
                <c:pt idx="0">
                  <c:v>Czechia</c:v>
                </c:pt>
                <c:pt idx="1">
                  <c:v>Malta (¹)</c:v>
                </c:pt>
                <c:pt idx="2">
                  <c:v>Italy</c:v>
                </c:pt>
                <c:pt idx="3">
                  <c:v>Hungary</c:v>
                </c:pt>
                <c:pt idx="4">
                  <c:v>Slovenia</c:v>
                </c:pt>
                <c:pt idx="5">
                  <c:v>Croatia</c:v>
                </c:pt>
                <c:pt idx="6">
                  <c:v>Slovakia</c:v>
                </c:pt>
                <c:pt idx="7">
                  <c:v>Netherlands</c:v>
                </c:pt>
                <c:pt idx="8">
                  <c:v>Germany</c:v>
                </c:pt>
                <c:pt idx="9">
                  <c:v>Poland</c:v>
                </c:pt>
                <c:pt idx="10">
                  <c:v>Belgium</c:v>
                </c:pt>
                <c:pt idx="11">
                  <c:v>Spain</c:v>
                </c:pt>
                <c:pt idx="12">
                  <c:v>Austria</c:v>
                </c:pt>
                <c:pt idx="13">
                  <c:v>Greece</c:v>
                </c:pt>
                <c:pt idx="14">
                  <c:v>Lithuania</c:v>
                </c:pt>
                <c:pt idx="15">
                  <c:v>Portugal</c:v>
                </c:pt>
                <c:pt idx="16">
                  <c:v>France</c:v>
                </c:pt>
                <c:pt idx="17">
                  <c:v>Finland</c:v>
                </c:pt>
                <c:pt idx="18">
                  <c:v>Luxembourg</c:v>
                </c:pt>
                <c:pt idx="19">
                  <c:v>Denmark</c:v>
                </c:pt>
                <c:pt idx="20">
                  <c:v>Sweden</c:v>
                </c:pt>
                <c:pt idx="21">
                  <c:v>Cyprus</c:v>
                </c:pt>
                <c:pt idx="22">
                  <c:v>Latvia</c:v>
                </c:pt>
                <c:pt idx="23">
                  <c:v>Ireland</c:v>
                </c:pt>
                <c:pt idx="24">
                  <c:v>Romania</c:v>
                </c:pt>
                <c:pt idx="25">
                  <c:v>Estonia</c:v>
                </c:pt>
                <c:pt idx="26">
                  <c:v>Bulgaria</c:v>
                </c:pt>
              </c:strCache>
            </c:strRef>
          </c:cat>
          <c:val>
            <c:numRef>
              <c:f>'UE 2023 Distribution of ICT spe'!$C$2:$C$28</c:f>
              <c:numCache>
                <c:formatCode>0.0</c:formatCode>
                <c:ptCount val="27"/>
                <c:pt idx="0" formatCode="General">
                  <c:v>87.6</c:v>
                </c:pt>
                <c:pt idx="1">
                  <c:v>86.2</c:v>
                </c:pt>
                <c:pt idx="2">
                  <c:v>84.3</c:v>
                </c:pt>
                <c:pt idx="3">
                  <c:v>84.3</c:v>
                </c:pt>
                <c:pt idx="4">
                  <c:v>82.9</c:v>
                </c:pt>
                <c:pt idx="5">
                  <c:v>82.6</c:v>
                </c:pt>
                <c:pt idx="6">
                  <c:v>82.6</c:v>
                </c:pt>
                <c:pt idx="7">
                  <c:v>81.099999999999994</c:v>
                </c:pt>
                <c:pt idx="8">
                  <c:v>81</c:v>
                </c:pt>
                <c:pt idx="9">
                  <c:v>80.900000000000006</c:v>
                </c:pt>
                <c:pt idx="10">
                  <c:v>80.599999999999994</c:v>
                </c:pt>
                <c:pt idx="11">
                  <c:v>80.5</c:v>
                </c:pt>
                <c:pt idx="12">
                  <c:v>80.5</c:v>
                </c:pt>
                <c:pt idx="13">
                  <c:v>80.2</c:v>
                </c:pt>
                <c:pt idx="14">
                  <c:v>80</c:v>
                </c:pt>
                <c:pt idx="15">
                  <c:v>80</c:v>
                </c:pt>
                <c:pt idx="16">
                  <c:v>79.900000000000006</c:v>
                </c:pt>
                <c:pt idx="17">
                  <c:v>77.8</c:v>
                </c:pt>
                <c:pt idx="18">
                  <c:v>77.5</c:v>
                </c:pt>
                <c:pt idx="19">
                  <c:v>77.400000000000006</c:v>
                </c:pt>
                <c:pt idx="20" formatCode="General">
                  <c:v>77.2</c:v>
                </c:pt>
                <c:pt idx="21" formatCode="General">
                  <c:v>76</c:v>
                </c:pt>
                <c:pt idx="22" formatCode="General">
                  <c:v>76</c:v>
                </c:pt>
                <c:pt idx="23" formatCode="General">
                  <c:v>75.7</c:v>
                </c:pt>
                <c:pt idx="24" formatCode="General">
                  <c:v>74</c:v>
                </c:pt>
                <c:pt idx="25" formatCode="General">
                  <c:v>73.2</c:v>
                </c:pt>
                <c:pt idx="26" formatCode="General">
                  <c:v>70.900000000000006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6-5643-9E7E-3D165AE2566D}"/>
            </c:ext>
          </c:extLst>
        </c:ser>
        <c:ser>
          <c:idx val="1"/>
          <c:order val="1"/>
          <c:tx>
            <c:v>donne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'UE 2023 Distribution of ICT spe'!$B$2:$B$28</c:f>
              <c:strCache>
                <c:ptCount val="27"/>
                <c:pt idx="0">
                  <c:v>Czechia</c:v>
                </c:pt>
                <c:pt idx="1">
                  <c:v>Malta (¹)</c:v>
                </c:pt>
                <c:pt idx="2">
                  <c:v>Italy</c:v>
                </c:pt>
                <c:pt idx="3">
                  <c:v>Hungary</c:v>
                </c:pt>
                <c:pt idx="4">
                  <c:v>Slovenia</c:v>
                </c:pt>
                <c:pt idx="5">
                  <c:v>Croatia</c:v>
                </c:pt>
                <c:pt idx="6">
                  <c:v>Slovakia</c:v>
                </c:pt>
                <c:pt idx="7">
                  <c:v>Netherlands</c:v>
                </c:pt>
                <c:pt idx="8">
                  <c:v>Germany</c:v>
                </c:pt>
                <c:pt idx="9">
                  <c:v>Poland</c:v>
                </c:pt>
                <c:pt idx="10">
                  <c:v>Belgium</c:v>
                </c:pt>
                <c:pt idx="11">
                  <c:v>Spain</c:v>
                </c:pt>
                <c:pt idx="12">
                  <c:v>Austria</c:v>
                </c:pt>
                <c:pt idx="13">
                  <c:v>Greece</c:v>
                </c:pt>
                <c:pt idx="14">
                  <c:v>Lithuania</c:v>
                </c:pt>
                <c:pt idx="15">
                  <c:v>Portugal</c:v>
                </c:pt>
                <c:pt idx="16">
                  <c:v>France</c:v>
                </c:pt>
                <c:pt idx="17">
                  <c:v>Finland</c:v>
                </c:pt>
                <c:pt idx="18">
                  <c:v>Luxembourg</c:v>
                </c:pt>
                <c:pt idx="19">
                  <c:v>Denmark</c:v>
                </c:pt>
                <c:pt idx="20">
                  <c:v>Sweden</c:v>
                </c:pt>
                <c:pt idx="21">
                  <c:v>Cyprus</c:v>
                </c:pt>
                <c:pt idx="22">
                  <c:v>Latvia</c:v>
                </c:pt>
                <c:pt idx="23">
                  <c:v>Ireland</c:v>
                </c:pt>
                <c:pt idx="24">
                  <c:v>Romania</c:v>
                </c:pt>
                <c:pt idx="25">
                  <c:v>Estonia</c:v>
                </c:pt>
                <c:pt idx="26">
                  <c:v>Bulgaria</c:v>
                </c:pt>
              </c:strCache>
            </c:strRef>
          </c:cat>
          <c:val>
            <c:numRef>
              <c:f>'UE 2023 Distribution of ICT spe'!$D$2:$D$28</c:f>
              <c:numCache>
                <c:formatCode>0.0</c:formatCode>
                <c:ptCount val="27"/>
                <c:pt idx="0" formatCode="General">
                  <c:v>12.4</c:v>
                </c:pt>
                <c:pt idx="1">
                  <c:v>13.8</c:v>
                </c:pt>
                <c:pt idx="2">
                  <c:v>15.7</c:v>
                </c:pt>
                <c:pt idx="3">
                  <c:v>15.7</c:v>
                </c:pt>
                <c:pt idx="4">
                  <c:v>17.100000000000001</c:v>
                </c:pt>
                <c:pt idx="5">
                  <c:v>17.399999999999999</c:v>
                </c:pt>
                <c:pt idx="6">
                  <c:v>17.399999999999999</c:v>
                </c:pt>
                <c:pt idx="7">
                  <c:v>18.899999999999999</c:v>
                </c:pt>
                <c:pt idx="8">
                  <c:v>19</c:v>
                </c:pt>
                <c:pt idx="9">
                  <c:v>19.100000000000001</c:v>
                </c:pt>
                <c:pt idx="10">
                  <c:v>19.399999999999999</c:v>
                </c:pt>
                <c:pt idx="11">
                  <c:v>19.5</c:v>
                </c:pt>
                <c:pt idx="12">
                  <c:v>19.5</c:v>
                </c:pt>
                <c:pt idx="13">
                  <c:v>19.8</c:v>
                </c:pt>
                <c:pt idx="14">
                  <c:v>20</c:v>
                </c:pt>
                <c:pt idx="15">
                  <c:v>20</c:v>
                </c:pt>
                <c:pt idx="16">
                  <c:v>20.100000000000001</c:v>
                </c:pt>
                <c:pt idx="17">
                  <c:v>22.2</c:v>
                </c:pt>
                <c:pt idx="18">
                  <c:v>22.5</c:v>
                </c:pt>
                <c:pt idx="19">
                  <c:v>22.6</c:v>
                </c:pt>
                <c:pt idx="20" formatCode="General">
                  <c:v>22.8</c:v>
                </c:pt>
                <c:pt idx="21" formatCode="General">
                  <c:v>24</c:v>
                </c:pt>
                <c:pt idx="22" formatCode="General">
                  <c:v>24</c:v>
                </c:pt>
                <c:pt idx="23" formatCode="General">
                  <c:v>24.3</c:v>
                </c:pt>
                <c:pt idx="24" formatCode="General">
                  <c:v>26</c:v>
                </c:pt>
                <c:pt idx="25" formatCode="General">
                  <c:v>26.8</c:v>
                </c:pt>
                <c:pt idx="26" formatCode="General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6-5643-9E7E-3D165AE25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370544"/>
        <c:axId val="517027008"/>
      </c:barChart>
      <c:catAx>
        <c:axId val="51737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7027008"/>
        <c:crosses val="autoZero"/>
        <c:auto val="1"/>
        <c:lblAlgn val="ctr"/>
        <c:lblOffset val="100"/>
        <c:noMultiLvlLbl val="0"/>
      </c:catAx>
      <c:valAx>
        <c:axId val="517027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73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'UE 2023 Distribution of ICT spe'!$B$31</c:f>
              <c:strCache>
                <c:ptCount val="1"/>
                <c:pt idx="0">
                  <c:v>MEDIA 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2-364D-8C92-DC1D2240C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2-364D-8C92-DC1D2240C2B7}"/>
              </c:ext>
            </c:extLst>
          </c:dPt>
          <c:cat>
            <c:strRef>
              <c:f>'UE 2023 Distribution of ICT spe'!$C$30:$D$30</c:f>
              <c:strCache>
                <c:ptCount val="2"/>
                <c:pt idx="0">
                  <c:v>uomini</c:v>
                </c:pt>
                <c:pt idx="1">
                  <c:v>donne</c:v>
                </c:pt>
              </c:strCache>
            </c:strRef>
          </c:cat>
          <c:val>
            <c:numRef>
              <c:f>'UE 2023 Distribution of ICT spe'!$C$31:$D$31</c:f>
              <c:numCache>
                <c:formatCode>0.0</c:formatCode>
                <c:ptCount val="2"/>
                <c:pt idx="0">
                  <c:v>79.662962962962979</c:v>
                </c:pt>
                <c:pt idx="1">
                  <c:v>20.337037037037042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B-5141-B5CE-049395985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'UE 2023 Distribution of ICT spe'!$C$1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'UE 2023 Distribution of ICT spe'!$B$2:$B$28</c:f>
              <c:strCache>
                <c:ptCount val="27"/>
                <c:pt idx="0">
                  <c:v>Czechia</c:v>
                </c:pt>
                <c:pt idx="1">
                  <c:v>Malta (¹)</c:v>
                </c:pt>
                <c:pt idx="2">
                  <c:v>Italy</c:v>
                </c:pt>
                <c:pt idx="3">
                  <c:v>Hungary</c:v>
                </c:pt>
                <c:pt idx="4">
                  <c:v>Slovenia</c:v>
                </c:pt>
                <c:pt idx="5">
                  <c:v>Croatia</c:v>
                </c:pt>
                <c:pt idx="6">
                  <c:v>Slovakia</c:v>
                </c:pt>
                <c:pt idx="7">
                  <c:v>Netherlands</c:v>
                </c:pt>
                <c:pt idx="8">
                  <c:v>Germany</c:v>
                </c:pt>
                <c:pt idx="9">
                  <c:v>Poland</c:v>
                </c:pt>
                <c:pt idx="10">
                  <c:v>Belgium</c:v>
                </c:pt>
                <c:pt idx="11">
                  <c:v>Spain</c:v>
                </c:pt>
                <c:pt idx="12">
                  <c:v>Austria</c:v>
                </c:pt>
                <c:pt idx="13">
                  <c:v>Greece</c:v>
                </c:pt>
                <c:pt idx="14">
                  <c:v>Lithuania</c:v>
                </c:pt>
                <c:pt idx="15">
                  <c:v>Portugal</c:v>
                </c:pt>
                <c:pt idx="16">
                  <c:v>France</c:v>
                </c:pt>
                <c:pt idx="17">
                  <c:v>Finland</c:v>
                </c:pt>
                <c:pt idx="18">
                  <c:v>Luxembourg</c:v>
                </c:pt>
                <c:pt idx="19">
                  <c:v>Denmark</c:v>
                </c:pt>
                <c:pt idx="20">
                  <c:v>Sweden</c:v>
                </c:pt>
                <c:pt idx="21">
                  <c:v>Cyprus</c:v>
                </c:pt>
                <c:pt idx="22">
                  <c:v>Latvia</c:v>
                </c:pt>
                <c:pt idx="23">
                  <c:v>Ireland</c:v>
                </c:pt>
                <c:pt idx="24">
                  <c:v>Romania</c:v>
                </c:pt>
                <c:pt idx="25">
                  <c:v>Estonia</c:v>
                </c:pt>
                <c:pt idx="26">
                  <c:v>Bulgaria</c:v>
                </c:pt>
              </c:strCache>
            </c:strRef>
          </c:cat>
          <c:val>
            <c:numRef>
              <c:f>'UE 2023 Distribution of ICT spe'!$C$2:$C$28</c:f>
              <c:numCache>
                <c:formatCode>0.0</c:formatCode>
                <c:ptCount val="27"/>
                <c:pt idx="0" formatCode="General">
                  <c:v>87.6</c:v>
                </c:pt>
                <c:pt idx="1">
                  <c:v>86.2</c:v>
                </c:pt>
                <c:pt idx="2">
                  <c:v>84.3</c:v>
                </c:pt>
                <c:pt idx="3">
                  <c:v>84.3</c:v>
                </c:pt>
                <c:pt idx="4">
                  <c:v>82.9</c:v>
                </c:pt>
                <c:pt idx="5">
                  <c:v>82.6</c:v>
                </c:pt>
                <c:pt idx="6">
                  <c:v>82.6</c:v>
                </c:pt>
                <c:pt idx="7">
                  <c:v>81.099999999999994</c:v>
                </c:pt>
                <c:pt idx="8">
                  <c:v>81</c:v>
                </c:pt>
                <c:pt idx="9">
                  <c:v>80.900000000000006</c:v>
                </c:pt>
                <c:pt idx="10">
                  <c:v>80.599999999999994</c:v>
                </c:pt>
                <c:pt idx="11">
                  <c:v>80.5</c:v>
                </c:pt>
                <c:pt idx="12">
                  <c:v>80.5</c:v>
                </c:pt>
                <c:pt idx="13">
                  <c:v>80.2</c:v>
                </c:pt>
                <c:pt idx="14">
                  <c:v>80</c:v>
                </c:pt>
                <c:pt idx="15">
                  <c:v>80</c:v>
                </c:pt>
                <c:pt idx="16">
                  <c:v>79.900000000000006</c:v>
                </c:pt>
                <c:pt idx="17">
                  <c:v>77.8</c:v>
                </c:pt>
                <c:pt idx="18">
                  <c:v>77.5</c:v>
                </c:pt>
                <c:pt idx="19">
                  <c:v>77.400000000000006</c:v>
                </c:pt>
                <c:pt idx="20" formatCode="General">
                  <c:v>77.2</c:v>
                </c:pt>
                <c:pt idx="21" formatCode="General">
                  <c:v>76</c:v>
                </c:pt>
                <c:pt idx="22" formatCode="General">
                  <c:v>76</c:v>
                </c:pt>
                <c:pt idx="23" formatCode="General">
                  <c:v>75.7</c:v>
                </c:pt>
                <c:pt idx="24" formatCode="General">
                  <c:v>74</c:v>
                </c:pt>
                <c:pt idx="25" formatCode="General">
                  <c:v>73.2</c:v>
                </c:pt>
                <c:pt idx="26" formatCode="General">
                  <c:v>70.900000000000006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C-594B-A2FA-FC819C306376}"/>
            </c:ext>
          </c:extLst>
        </c:ser>
        <c:ser>
          <c:idx val="1"/>
          <c:order val="1"/>
          <c:tx>
            <c:strRef>
              <c:f>'UE 2023 Distribution of ICT spe'!$D$1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'UE 2023 Distribution of ICT spe'!$B$2:$B$28</c:f>
              <c:strCache>
                <c:ptCount val="27"/>
                <c:pt idx="0">
                  <c:v>Czechia</c:v>
                </c:pt>
                <c:pt idx="1">
                  <c:v>Malta (¹)</c:v>
                </c:pt>
                <c:pt idx="2">
                  <c:v>Italy</c:v>
                </c:pt>
                <c:pt idx="3">
                  <c:v>Hungary</c:v>
                </c:pt>
                <c:pt idx="4">
                  <c:v>Slovenia</c:v>
                </c:pt>
                <c:pt idx="5">
                  <c:v>Croatia</c:v>
                </c:pt>
                <c:pt idx="6">
                  <c:v>Slovakia</c:v>
                </c:pt>
                <c:pt idx="7">
                  <c:v>Netherlands</c:v>
                </c:pt>
                <c:pt idx="8">
                  <c:v>Germany</c:v>
                </c:pt>
                <c:pt idx="9">
                  <c:v>Poland</c:v>
                </c:pt>
                <c:pt idx="10">
                  <c:v>Belgium</c:v>
                </c:pt>
                <c:pt idx="11">
                  <c:v>Spain</c:v>
                </c:pt>
                <c:pt idx="12">
                  <c:v>Austria</c:v>
                </c:pt>
                <c:pt idx="13">
                  <c:v>Greece</c:v>
                </c:pt>
                <c:pt idx="14">
                  <c:v>Lithuania</c:v>
                </c:pt>
                <c:pt idx="15">
                  <c:v>Portugal</c:v>
                </c:pt>
                <c:pt idx="16">
                  <c:v>France</c:v>
                </c:pt>
                <c:pt idx="17">
                  <c:v>Finland</c:v>
                </c:pt>
                <c:pt idx="18">
                  <c:v>Luxembourg</c:v>
                </c:pt>
                <c:pt idx="19">
                  <c:v>Denmark</c:v>
                </c:pt>
                <c:pt idx="20">
                  <c:v>Sweden</c:v>
                </c:pt>
                <c:pt idx="21">
                  <c:v>Cyprus</c:v>
                </c:pt>
                <c:pt idx="22">
                  <c:v>Latvia</c:v>
                </c:pt>
                <c:pt idx="23">
                  <c:v>Ireland</c:v>
                </c:pt>
                <c:pt idx="24">
                  <c:v>Romania</c:v>
                </c:pt>
                <c:pt idx="25">
                  <c:v>Estonia</c:v>
                </c:pt>
                <c:pt idx="26">
                  <c:v>Bulgaria</c:v>
                </c:pt>
              </c:strCache>
            </c:strRef>
          </c:cat>
          <c:val>
            <c:numRef>
              <c:f>'UE 2023 Distribution of ICT spe'!$D$2:$D$28</c:f>
              <c:numCache>
                <c:formatCode>0.0</c:formatCode>
                <c:ptCount val="27"/>
                <c:pt idx="0" formatCode="General">
                  <c:v>12.4</c:v>
                </c:pt>
                <c:pt idx="1">
                  <c:v>13.8</c:v>
                </c:pt>
                <c:pt idx="2">
                  <c:v>15.7</c:v>
                </c:pt>
                <c:pt idx="3">
                  <c:v>15.7</c:v>
                </c:pt>
                <c:pt idx="4">
                  <c:v>17.100000000000001</c:v>
                </c:pt>
                <c:pt idx="5">
                  <c:v>17.399999999999999</c:v>
                </c:pt>
                <c:pt idx="6">
                  <c:v>17.399999999999999</c:v>
                </c:pt>
                <c:pt idx="7">
                  <c:v>18.899999999999999</c:v>
                </c:pt>
                <c:pt idx="8">
                  <c:v>19</c:v>
                </c:pt>
                <c:pt idx="9">
                  <c:v>19.100000000000001</c:v>
                </c:pt>
                <c:pt idx="10">
                  <c:v>19.399999999999999</c:v>
                </c:pt>
                <c:pt idx="11">
                  <c:v>19.5</c:v>
                </c:pt>
                <c:pt idx="12">
                  <c:v>19.5</c:v>
                </c:pt>
                <c:pt idx="13">
                  <c:v>19.8</c:v>
                </c:pt>
                <c:pt idx="14">
                  <c:v>20</c:v>
                </c:pt>
                <c:pt idx="15">
                  <c:v>20</c:v>
                </c:pt>
                <c:pt idx="16">
                  <c:v>20.100000000000001</c:v>
                </c:pt>
                <c:pt idx="17">
                  <c:v>22.2</c:v>
                </c:pt>
                <c:pt idx="18">
                  <c:v>22.5</c:v>
                </c:pt>
                <c:pt idx="19">
                  <c:v>22.6</c:v>
                </c:pt>
                <c:pt idx="20" formatCode="General">
                  <c:v>22.8</c:v>
                </c:pt>
                <c:pt idx="21" formatCode="General">
                  <c:v>24</c:v>
                </c:pt>
                <c:pt idx="22" formatCode="General">
                  <c:v>24</c:v>
                </c:pt>
                <c:pt idx="23" formatCode="General">
                  <c:v>24.3</c:v>
                </c:pt>
                <c:pt idx="24" formatCode="General">
                  <c:v>26</c:v>
                </c:pt>
                <c:pt idx="25" formatCode="General">
                  <c:v>26.8</c:v>
                </c:pt>
                <c:pt idx="26" formatCode="General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C-594B-A2FA-FC819C306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52416"/>
        <c:axId val="1591254144"/>
      </c:areaChart>
      <c:catAx>
        <c:axId val="159125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254144"/>
        <c:crosses val="autoZero"/>
        <c:auto val="1"/>
        <c:lblAlgn val="ctr"/>
        <c:lblOffset val="100"/>
        <c:noMultiLvlLbl val="0"/>
      </c:catAx>
      <c:valAx>
        <c:axId val="15912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25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UOMO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'UE 2013-2023'!$C$34:$F$34</c:f>
              <c:numCache>
                <c:formatCode>General</c:formatCode>
                <c:ptCount val="4"/>
                <c:pt idx="0">
                  <c:v>2013</c:v>
                </c:pt>
                <c:pt idx="1">
                  <c:v>2023</c:v>
                </c:pt>
                <c:pt idx="2">
                  <c:v>2013</c:v>
                </c:pt>
                <c:pt idx="3">
                  <c:v>2023</c:v>
                </c:pt>
              </c:numCache>
            </c:numRef>
          </c:cat>
          <c:val>
            <c:numRef>
              <c:f>'UE 2013-2023'!$C$35:$D$35</c:f>
              <c:numCache>
                <c:formatCode>#,##0.0_i</c:formatCode>
                <c:ptCount val="2"/>
                <c:pt idx="0">
                  <c:v>82.851851851851848</c:v>
                </c:pt>
                <c:pt idx="1">
                  <c:v>79.662962962962965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B-DC4F-BB91-9B8A179DF7F8}"/>
            </c:ext>
          </c:extLst>
        </c:ser>
        <c:ser>
          <c:idx val="1"/>
          <c:order val="1"/>
          <c:tx>
            <c:v>DONNA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'UE 2013-2023'!$C$34:$F$34</c:f>
              <c:numCache>
                <c:formatCode>General</c:formatCode>
                <c:ptCount val="4"/>
                <c:pt idx="0">
                  <c:v>2013</c:v>
                </c:pt>
                <c:pt idx="1">
                  <c:v>2023</c:v>
                </c:pt>
                <c:pt idx="2">
                  <c:v>2013</c:v>
                </c:pt>
                <c:pt idx="3">
                  <c:v>2023</c:v>
                </c:pt>
              </c:numCache>
            </c:numRef>
          </c:cat>
          <c:val>
            <c:numRef>
              <c:f>'UE 2013-2023'!$E$35:$F$35</c:f>
              <c:numCache>
                <c:formatCode>#,##0.0_i</c:formatCode>
                <c:ptCount val="2"/>
                <c:pt idx="0">
                  <c:v>17.148148148148145</c:v>
                </c:pt>
                <c:pt idx="1">
                  <c:v>20.337037037037039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B-DC4F-BB91-9B8A179D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140960"/>
        <c:axId val="443129200"/>
      </c:barChart>
      <c:catAx>
        <c:axId val="4431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3129200"/>
        <c:crosses val="autoZero"/>
        <c:auto val="1"/>
        <c:lblAlgn val="ctr"/>
        <c:lblOffset val="100"/>
        <c:noMultiLvlLbl val="0"/>
      </c:catAx>
      <c:valAx>
        <c:axId val="4431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i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31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'UE 2013-2023'!$C$39:$F$39</c:f>
              <c:strCache>
                <c:ptCount val="4"/>
                <c:pt idx="0">
                  <c:v>men </c:v>
                </c:pt>
                <c:pt idx="1">
                  <c:v>women</c:v>
                </c:pt>
                <c:pt idx="2">
                  <c:v>men </c:v>
                </c:pt>
                <c:pt idx="3">
                  <c:v>women</c:v>
                </c:pt>
              </c:strCache>
            </c:strRef>
          </c:cat>
          <c:val>
            <c:numRef>
              <c:f>'UE 2013-2023'!$C$41:$D$41</c:f>
              <c:numCache>
                <c:formatCode>General</c:formatCode>
                <c:ptCount val="2"/>
                <c:pt idx="0">
                  <c:v>82.9</c:v>
                </c:pt>
                <c:pt idx="1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D-FB42-B3A5-B7EC0A7A03D5}"/>
            </c:ext>
          </c:extLst>
        </c:ser>
        <c:ser>
          <c:idx val="0"/>
          <c:order val="1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'UE 2013-2023'!$C$39:$F$39</c:f>
              <c:strCache>
                <c:ptCount val="4"/>
                <c:pt idx="0">
                  <c:v>men </c:v>
                </c:pt>
                <c:pt idx="1">
                  <c:v>women</c:v>
                </c:pt>
                <c:pt idx="2">
                  <c:v>men </c:v>
                </c:pt>
                <c:pt idx="3">
                  <c:v>women</c:v>
                </c:pt>
              </c:strCache>
            </c:strRef>
          </c:cat>
          <c:val>
            <c:numRef>
              <c:f>'UE 2013-2023'!$E$41:$F$41</c:f>
              <c:numCache>
                <c:formatCode>General</c:formatCode>
                <c:ptCount val="2"/>
                <c:pt idx="0">
                  <c:v>79.7</c:v>
                </c:pt>
                <c:pt idx="1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D-FB42-B3A5-B7EC0A7A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660016"/>
        <c:axId val="1602661728"/>
      </c:barChart>
      <c:catAx>
        <c:axId val="16026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661728"/>
        <c:crosses val="autoZero"/>
        <c:auto val="1"/>
        <c:lblAlgn val="ctr"/>
        <c:lblOffset val="100"/>
        <c:noMultiLvlLbl val="0"/>
      </c:catAx>
      <c:valAx>
        <c:axId val="16026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6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'tertiary education students'!$B$1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'tertiary education students'!$A$2:$A$13</c:f>
              <c:strCache>
                <c:ptCount val="12"/>
                <c:pt idx="0">
                  <c:v>Business, administration and law</c:v>
                </c:pt>
                <c:pt idx="1">
                  <c:v>Engineering, manufacturing and construction</c:v>
                </c:pt>
                <c:pt idx="2">
                  <c:v>Health and welfare</c:v>
                </c:pt>
                <c:pt idx="3">
                  <c:v>Arts and humanities</c:v>
                </c:pt>
                <c:pt idx="4">
                  <c:v>Social sciences, journalism and information</c:v>
                </c:pt>
                <c:pt idx="5">
                  <c:v>Education</c:v>
                </c:pt>
                <c:pt idx="6">
                  <c:v>Natural sciences, mathematics and statistics</c:v>
                </c:pt>
                <c:pt idx="7">
                  <c:v>Information and communication technologies</c:v>
                </c:pt>
                <c:pt idx="8">
                  <c:v>Services</c:v>
                </c:pt>
                <c:pt idx="9">
                  <c:v>Agriculture, forestry, fisheries and veterinary</c:v>
                </c:pt>
                <c:pt idx="10">
                  <c:v>Unknown</c:v>
                </c:pt>
                <c:pt idx="11">
                  <c:v>Generic programmes and qualifications</c:v>
                </c:pt>
              </c:strCache>
            </c:strRef>
          </c:cat>
          <c:val>
            <c:numRef>
              <c:f>'tertiary education students'!$B$2:$B$13</c:f>
              <c:numCache>
                <c:formatCode>0.0</c:formatCode>
                <c:ptCount val="12"/>
                <c:pt idx="0">
                  <c:v>9.8352885086825665</c:v>
                </c:pt>
                <c:pt idx="1">
                  <c:v>11.289541741752842</c:v>
                </c:pt>
                <c:pt idx="2">
                  <c:v>3.9257597116241572</c:v>
                </c:pt>
                <c:pt idx="3">
                  <c:v>4.0309641404553824</c:v>
                </c:pt>
                <c:pt idx="4">
                  <c:v>3.3671483471755135</c:v>
                </c:pt>
                <c:pt idx="5">
                  <c:v>1.5499988120268715</c:v>
                </c:pt>
                <c:pt idx="6">
                  <c:v>3.3476352566384247</c:v>
                </c:pt>
                <c:pt idx="7">
                  <c:v>4.1846255157642913</c:v>
                </c:pt>
                <c:pt idx="8">
                  <c:v>2.5924775294742313</c:v>
                </c:pt>
                <c:pt idx="9">
                  <c:v>0.95604033222131934</c:v>
                </c:pt>
                <c:pt idx="10">
                  <c:v>0.28621446212087298</c:v>
                </c:pt>
                <c:pt idx="11">
                  <c:v>2.58938823765057E-3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B-264F-BD51-9DA15E49F80A}"/>
            </c:ext>
          </c:extLst>
        </c:ser>
        <c:ser>
          <c:idx val="1"/>
          <c:order val="1"/>
          <c:tx>
            <c:strRef>
              <c:f>'tertiary education students'!$C$1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'tertiary education students'!$A$2:$A$13</c:f>
              <c:strCache>
                <c:ptCount val="12"/>
                <c:pt idx="0">
                  <c:v>Business, administration and law</c:v>
                </c:pt>
                <c:pt idx="1">
                  <c:v>Engineering, manufacturing and construction</c:v>
                </c:pt>
                <c:pt idx="2">
                  <c:v>Health and welfare</c:v>
                </c:pt>
                <c:pt idx="3">
                  <c:v>Arts and humanities</c:v>
                </c:pt>
                <c:pt idx="4">
                  <c:v>Social sciences, journalism and information</c:v>
                </c:pt>
                <c:pt idx="5">
                  <c:v>Education</c:v>
                </c:pt>
                <c:pt idx="6">
                  <c:v>Natural sciences, mathematics and statistics</c:v>
                </c:pt>
                <c:pt idx="7">
                  <c:v>Information and communication technologies</c:v>
                </c:pt>
                <c:pt idx="8">
                  <c:v>Services</c:v>
                </c:pt>
                <c:pt idx="9">
                  <c:v>Agriculture, forestry, fisheries and veterinary</c:v>
                </c:pt>
                <c:pt idx="10">
                  <c:v>Unknown</c:v>
                </c:pt>
                <c:pt idx="11">
                  <c:v>Generic programmes and qualifications</c:v>
                </c:pt>
              </c:strCache>
            </c:strRef>
          </c:cat>
          <c:val>
            <c:numRef>
              <c:f>'tertiary education students'!$C$2:$C$13</c:f>
              <c:numCache>
                <c:formatCode>0.0</c:formatCode>
                <c:ptCount val="12"/>
                <c:pt idx="0">
                  <c:v>12.252614425543658</c:v>
                </c:pt>
                <c:pt idx="1">
                  <c:v>4.2313299912438236</c:v>
                </c:pt>
                <c:pt idx="2">
                  <c:v>10.177649445474927</c:v>
                </c:pt>
                <c:pt idx="3">
                  <c:v>7.5049177313162021</c:v>
                </c:pt>
                <c:pt idx="4">
                  <c:v>6.3534207138589514</c:v>
                </c:pt>
                <c:pt idx="5">
                  <c:v>5.8883868071961176</c:v>
                </c:pt>
                <c:pt idx="6">
                  <c:v>3.5386602123309587</c:v>
                </c:pt>
                <c:pt idx="7">
                  <c:v>1.0567231612015502</c:v>
                </c:pt>
                <c:pt idx="8">
                  <c:v>2.3567477126462069</c:v>
                </c:pt>
                <c:pt idx="9">
                  <c:v>0.99873996211854199</c:v>
                </c:pt>
                <c:pt idx="10">
                  <c:v>0.26856056357220542</c:v>
                </c:pt>
                <c:pt idx="11">
                  <c:v>3.959910428511175E-3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B-264F-BD51-9DA15E49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946143"/>
        <c:axId val="1711239632"/>
      </c:barChart>
      <c:catAx>
        <c:axId val="18294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1239632"/>
        <c:crosses val="autoZero"/>
        <c:auto val="1"/>
        <c:lblAlgn val="ctr"/>
        <c:lblOffset val="100"/>
        <c:noMultiLvlLbl val="0"/>
      </c:catAx>
      <c:valAx>
        <c:axId val="17112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9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'tertiary education students'!$B$1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'tertiary education students'!$A$2:$A$13</c:f>
              <c:strCache>
                <c:ptCount val="12"/>
                <c:pt idx="0">
                  <c:v>Business, administration and law</c:v>
                </c:pt>
                <c:pt idx="1">
                  <c:v>Engineering, manufacturing and construction</c:v>
                </c:pt>
                <c:pt idx="2">
                  <c:v>Health and welfare</c:v>
                </c:pt>
                <c:pt idx="3">
                  <c:v>Arts and humanities</c:v>
                </c:pt>
                <c:pt idx="4">
                  <c:v>Social sciences, journalism and information</c:v>
                </c:pt>
                <c:pt idx="5">
                  <c:v>Education</c:v>
                </c:pt>
                <c:pt idx="6">
                  <c:v>Natural sciences, mathematics and statistics</c:v>
                </c:pt>
                <c:pt idx="7">
                  <c:v>Information and communication technologies</c:v>
                </c:pt>
                <c:pt idx="8">
                  <c:v>Services</c:v>
                </c:pt>
                <c:pt idx="9">
                  <c:v>Agriculture, forestry, fisheries and veterinary</c:v>
                </c:pt>
                <c:pt idx="10">
                  <c:v>Unknown</c:v>
                </c:pt>
                <c:pt idx="11">
                  <c:v>Generic programmes and qualifications</c:v>
                </c:pt>
              </c:strCache>
            </c:strRef>
          </c:cat>
          <c:val>
            <c:numRef>
              <c:f>'tertiary education students'!$B$2:$B$13</c:f>
              <c:numCache>
                <c:formatCode>0.0</c:formatCode>
                <c:ptCount val="12"/>
                <c:pt idx="0">
                  <c:v>9.8352885086825665</c:v>
                </c:pt>
                <c:pt idx="1">
                  <c:v>11.289541741752842</c:v>
                </c:pt>
                <c:pt idx="2">
                  <c:v>3.9257597116241572</c:v>
                </c:pt>
                <c:pt idx="3">
                  <c:v>4.0309641404553824</c:v>
                </c:pt>
                <c:pt idx="4">
                  <c:v>3.3671483471755135</c:v>
                </c:pt>
                <c:pt idx="5">
                  <c:v>1.5499988120268715</c:v>
                </c:pt>
                <c:pt idx="6">
                  <c:v>3.3476352566384247</c:v>
                </c:pt>
                <c:pt idx="7">
                  <c:v>4.1846255157642913</c:v>
                </c:pt>
                <c:pt idx="8">
                  <c:v>2.5924775294742313</c:v>
                </c:pt>
                <c:pt idx="9">
                  <c:v>0.95604033222131934</c:v>
                </c:pt>
                <c:pt idx="10">
                  <c:v>0.28621446212087298</c:v>
                </c:pt>
                <c:pt idx="11">
                  <c:v>2.58938823765057E-3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D-5546-90D8-348B01CC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297728"/>
        <c:axId val="712299440"/>
      </c:barChart>
      <c:catAx>
        <c:axId val="7122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2299440"/>
        <c:crosses val="autoZero"/>
        <c:auto val="1"/>
        <c:lblAlgn val="ctr"/>
        <c:lblOffset val="100"/>
        <c:noMultiLvlLbl val="0"/>
      </c:catAx>
      <c:valAx>
        <c:axId val="7122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22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'tertiary education students'!$C$1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'tertiary education students'!$A$2:$A$13</c:f>
              <c:strCache>
                <c:ptCount val="12"/>
                <c:pt idx="0">
                  <c:v>Business, administration and law</c:v>
                </c:pt>
                <c:pt idx="1">
                  <c:v>Engineering, manufacturing and construction</c:v>
                </c:pt>
                <c:pt idx="2">
                  <c:v>Health and welfare</c:v>
                </c:pt>
                <c:pt idx="3">
                  <c:v>Arts and humanities</c:v>
                </c:pt>
                <c:pt idx="4">
                  <c:v>Social sciences, journalism and information</c:v>
                </c:pt>
                <c:pt idx="5">
                  <c:v>Education</c:v>
                </c:pt>
                <c:pt idx="6">
                  <c:v>Natural sciences, mathematics and statistics</c:v>
                </c:pt>
                <c:pt idx="7">
                  <c:v>Information and communication technologies</c:v>
                </c:pt>
                <c:pt idx="8">
                  <c:v>Services</c:v>
                </c:pt>
                <c:pt idx="9">
                  <c:v>Agriculture, forestry, fisheries and veterinary</c:v>
                </c:pt>
                <c:pt idx="10">
                  <c:v>Unknown</c:v>
                </c:pt>
                <c:pt idx="11">
                  <c:v>Generic programmes and qualifications</c:v>
                </c:pt>
              </c:strCache>
            </c:strRef>
          </c:cat>
          <c:val>
            <c:numRef>
              <c:f>'tertiary education students'!$C$2:$C$13</c:f>
              <c:numCache>
                <c:formatCode>0.0</c:formatCode>
                <c:ptCount val="12"/>
                <c:pt idx="0">
                  <c:v>12.252614425543658</c:v>
                </c:pt>
                <c:pt idx="1">
                  <c:v>4.2313299912438236</c:v>
                </c:pt>
                <c:pt idx="2">
                  <c:v>10.177649445474927</c:v>
                </c:pt>
                <c:pt idx="3">
                  <c:v>7.5049177313162021</c:v>
                </c:pt>
                <c:pt idx="4">
                  <c:v>6.3534207138589514</c:v>
                </c:pt>
                <c:pt idx="5">
                  <c:v>5.8883868071961176</c:v>
                </c:pt>
                <c:pt idx="6">
                  <c:v>3.5386602123309587</c:v>
                </c:pt>
                <c:pt idx="7">
                  <c:v>1.0567231612015502</c:v>
                </c:pt>
                <c:pt idx="8">
                  <c:v>2.3567477126462069</c:v>
                </c:pt>
                <c:pt idx="9">
                  <c:v>0.99873996211854199</c:v>
                </c:pt>
                <c:pt idx="10">
                  <c:v>0.26856056357220542</c:v>
                </c:pt>
                <c:pt idx="11">
                  <c:v>3.959910428511175E-3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5-5F44-BD04-FE9AAECC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607743"/>
        <c:axId val="293585119"/>
      </c:barChart>
      <c:catAx>
        <c:axId val="2926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3585119"/>
        <c:crosses val="autoZero"/>
        <c:auto val="1"/>
        <c:lblAlgn val="ctr"/>
        <c:lblOffset val="100"/>
        <c:noMultiLvlLbl val="0"/>
      </c:catAx>
      <c:valAx>
        <c:axId val="29358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260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_xlchart.v1.2</cx:f>
      </cx:numDim>
    </cx:data>
  </cx:chartData>
  <cx:chart>
    <cx:title pos="t" align="ctr" overlay="0">
      <cx:tx>
        <cx:txData>
          <cx:v>MEDIA UE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MEDIA UE</a:t>
          </a:r>
        </a:p>
      </cx:txPr>
    </cx:title>
    <cx:plotArea>
      <cx:plotAreaRegion>
        <cx:series layoutId="treemap" uniqueId="{7F2D5CB9-6B8F-9645-8B22-046F3F154FDB}">
          <cx:tx>
            <cx:txData>
              <cx:f>_xlchart.v1.0</cx:f>
              <cx:v>MEDIA UE</cx:v>
            </cx:txData>
          </cx:tx>
          <cx:dataId val="0"/>
          <cx:layoutPr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0</xdr:row>
      <xdr:rowOff>0</xdr:rowOff>
    </xdr:from>
    <xdr:to>
      <xdr:col>14</xdr:col>
      <xdr:colOff>152400</xdr:colOff>
      <xdr:row>19</xdr:row>
      <xdr:rowOff>88900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99CD668-4C4F-6643-90AC-940899789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224366</xdr:colOff>
      <xdr:row>20</xdr:row>
      <xdr:rowOff>101600</xdr:rowOff>
    </xdr:from>
    <xdr:to>
      <xdr:col>13</xdr:col>
      <xdr:colOff>778933</xdr:colOff>
      <xdr:row>39</xdr:row>
      <xdr:rowOff>50800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602E465-0BE8-53BD-DA4E-28620D5E3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634999</xdr:colOff>
      <xdr:row>3</xdr:row>
      <xdr:rowOff>16932</xdr:rowOff>
    </xdr:from>
    <xdr:to>
      <xdr:col>21</xdr:col>
      <xdr:colOff>711200</xdr:colOff>
      <xdr:row>22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CB03C85-46BE-7CAB-6EAA-7E8564EE4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262467</xdr:colOff>
      <xdr:row>24</xdr:row>
      <xdr:rowOff>-1</xdr:rowOff>
    </xdr:from>
    <xdr:to>
      <xdr:col>20</xdr:col>
      <xdr:colOff>685800</xdr:colOff>
      <xdr:row>37</xdr:row>
      <xdr:rowOff>101599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FA221293-37D8-00D6-B966-5F39953B09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8467" y="4876799"/>
              <a:ext cx="45508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26518</xdr:colOff>
      <xdr:row>6</xdr:row>
      <xdr:rowOff>88900</xdr:rowOff>
    </xdr:from>
    <xdr:to>
      <xdr:col>14</xdr:col>
      <xdr:colOff>468222</xdr:colOff>
      <xdr:row>19</xdr:row>
      <xdr:rowOff>190500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7005B2AE-1DF3-0349-BDBA-7F0DD1B88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22</xdr:row>
      <xdr:rowOff>146050</xdr:rowOff>
    </xdr:from>
    <xdr:to>
      <xdr:col>19</xdr:col>
      <xdr:colOff>482600</xdr:colOff>
      <xdr:row>36</xdr:row>
      <xdr:rowOff>44450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C0586B5E-BD7F-5C37-57AA-7144A8AB6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0</xdr:rowOff>
    </xdr:from>
    <xdr:to>
      <xdr:col>14</xdr:col>
      <xdr:colOff>685800</xdr:colOff>
      <xdr:row>16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653B8BA-D277-C2E4-DB33-C0D116326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31750</xdr:colOff>
      <xdr:row>1</xdr:row>
      <xdr:rowOff>0</xdr:rowOff>
    </xdr:from>
    <xdr:to>
      <xdr:col>20</xdr:col>
      <xdr:colOff>476250</xdr:colOff>
      <xdr:row>12</xdr:row>
      <xdr:rowOff>120650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6F5BE37-3CF0-82B8-4D41-FF47F0092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819150</xdr:colOff>
      <xdr:row>14</xdr:row>
      <xdr:rowOff>120650</xdr:rowOff>
    </xdr:from>
    <xdr:to>
      <xdr:col>20</xdr:col>
      <xdr:colOff>438150</xdr:colOff>
      <xdr:row>28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56A557C-B1D2-9191-3EA7-4C56B9EB3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Michielin" refreshedDate="45745.688765162035" createdVersion="8" refreshedVersion="8" minRefreshableVersion="3" recordCount="52" xr:uid="{6F8D2384-D2D3-8F44-82AD-8A037C25095C}">
  <cacheSource type="worksheet">
    <worksheetSource ref="A1:H53" sheet="ILO UE  2022"/>
  </cacheSource>
  <cacheFields count="8">
    <cacheField name="ref_area.label" numFmtId="0">
      <sharedItems count="26">
        <s v="Austria"/>
        <s v="Belgium"/>
        <s v="Bulgaria"/>
        <s v="Czechia"/>
        <s v="Germany"/>
        <s v="Denmark"/>
        <s v="Spain"/>
        <s v="Estonia"/>
        <s v="Finland"/>
        <s v="France"/>
        <s v="Greece"/>
        <s v="Croatia"/>
        <s v="Hungary"/>
        <s v="Ireland"/>
        <s v="Italy"/>
        <s v="Lithuania"/>
        <s v="Luxembourg"/>
        <s v="Latvia"/>
        <s v="Malta"/>
        <s v="Netherlands"/>
        <s v="Poland"/>
        <s v="Portugal"/>
        <s v="Romania"/>
        <s v="Slovakia"/>
        <s v="Slovenia"/>
        <s v="Sweden"/>
      </sharedItems>
    </cacheField>
    <cacheField name="source.label" numFmtId="0">
      <sharedItems/>
    </cacheField>
    <cacheField name="indicator.label" numFmtId="0">
      <sharedItems/>
    </cacheField>
    <cacheField name="sex.label" numFmtId="0">
      <sharedItems count="2">
        <s v="Sex: Male"/>
        <s v="Sex: Female"/>
      </sharedItems>
    </cacheField>
    <cacheField name="classif1.label" numFmtId="0">
      <sharedItems/>
    </cacheField>
    <cacheField name="time" numFmtId="0">
      <sharedItems containsSemiMixedTypes="0" containsString="0" containsNumber="1" containsInteger="1" minValue="2022" maxValue="2022"/>
    </cacheField>
    <cacheField name="obs_value" numFmtId="1">
      <sharedItems containsSemiMixedTypes="0" containsString="0" containsNumber="1" containsInteger="1" minValue="1832" maxValue="714995"/>
    </cacheField>
    <cacheField name="note_source.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Michielin" refreshedDate="45745.700717939813" createdVersion="8" refreshedVersion="8" minRefreshableVersion="3" recordCount="52" xr:uid="{3E985389-8720-1547-967A-3BB9756A4E33}">
  <cacheSource type="worksheet">
    <worksheetSource ref="A1:H53" sheet="ILO UE 2014"/>
  </cacheSource>
  <cacheFields count="8">
    <cacheField name="ref_area.label" numFmtId="0">
      <sharedItems count="27">
        <s v="Austria"/>
        <s v="Belgium"/>
        <s v="Bulgaria"/>
        <s v="Czechia"/>
        <s v="Germany"/>
        <s v="Denmark"/>
        <s v="Spain"/>
        <s v="Estonia"/>
        <s v="Finland"/>
        <s v="France"/>
        <s v="Greece"/>
        <s v="Croatia"/>
        <s v="Hungary"/>
        <s v="Ireland"/>
        <s v="Italy"/>
        <s v="Lithuania"/>
        <s v="Luxembourg"/>
        <s v="Latvia"/>
        <s v="Malta"/>
        <s v="Netherlands"/>
        <s v="Poland"/>
        <s v="Portugal"/>
        <s v="Romania"/>
        <s v="Slovakia"/>
        <s v="Slovenia"/>
        <s v="Sweden"/>
        <s v="Norway" u="1"/>
      </sharedItems>
    </cacheField>
    <cacheField name="source.label" numFmtId="0">
      <sharedItems/>
    </cacheField>
    <cacheField name="indicator.label" numFmtId="0">
      <sharedItems/>
    </cacheField>
    <cacheField name="sex.label" numFmtId="0">
      <sharedItems count="2">
        <s v="Sex: Male"/>
        <s v="Sex: Female"/>
      </sharedItems>
    </cacheField>
    <cacheField name="classif1.label" numFmtId="0">
      <sharedItems/>
    </cacheField>
    <cacheField name="time" numFmtId="0">
      <sharedItems containsSemiMixedTypes="0" containsString="0" containsNumber="1" containsInteger="1" minValue="2014" maxValue="2014"/>
    </cacheField>
    <cacheField name="obs_value" numFmtId="1">
      <sharedItems containsSemiMixedTypes="0" containsString="0" containsNumber="1" containsInteger="1" minValue="450" maxValue="379739"/>
    </cacheField>
    <cacheField name="note_source.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72674"/>
    <s v="Repository: ILO-STATISTICS - Micro data processing"/>
  </r>
  <r>
    <x v="0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28163"/>
    <s v="Repository: ILO-STATISTICS - Micro data processing"/>
  </r>
  <r>
    <x v="1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109190"/>
    <s v="Repository: Eurostat special tabulation"/>
  </r>
  <r>
    <x v="1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28195"/>
    <s v="Repository: Eurostat special tabulation"/>
  </r>
  <r>
    <x v="2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45470"/>
    <s v="Repository: Eurostat special tabulation"/>
  </r>
  <r>
    <x v="2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21458"/>
    <s v="Repository: Eurostat special tabulation"/>
  </r>
  <r>
    <x v="3"/>
    <s v="LFS - Labour Force Sample Survey"/>
    <s v="Employment by sex and economic activity - ISIC level 2 (thousands)"/>
    <x v="0"/>
    <s v="Economic activity (ISIC-Rev.4), 2 digit level: 62 - Computer programming, consultancy and related activities"/>
    <n v="2022"/>
    <n v="95409"/>
    <s v="Repository: ILO-STATISTICS - Micro data processing"/>
  </r>
  <r>
    <x v="3"/>
    <s v="LFS - Labour Force Sample Survey"/>
    <s v="Employment by sex and economic activity - ISIC level 2 (thousands)"/>
    <x v="1"/>
    <s v="Economic activity (ISIC-Rev.4), 2 digit level: 62 - Computer programming, consultancy and related activities"/>
    <n v="2022"/>
    <n v="28284"/>
    <s v="Repository: ILO-STATISTICS - Micro data processing"/>
  </r>
  <r>
    <x v="4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714995"/>
    <s v="Repository: Eurostat special tabulation"/>
  </r>
  <r>
    <x v="4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243558"/>
    <s v="Repository: Eurostat special tabulation"/>
  </r>
  <r>
    <x v="5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57681"/>
    <s v="Repository: Eurostat special tabulation"/>
  </r>
  <r>
    <x v="5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14608"/>
    <s v="Repository: Eurostat special tabulation"/>
  </r>
  <r>
    <x v="6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339395"/>
    <s v="Repository: Eurostat special tabulation"/>
  </r>
  <r>
    <x v="6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104652"/>
    <s v="Repository: Eurostat special tabulation"/>
  </r>
  <r>
    <x v="7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17709"/>
    <s v="Repository: Eurostat special tabulation"/>
  </r>
  <r>
    <x v="7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6425"/>
    <s v="Repository: Eurostat special tabulation"/>
  </r>
  <r>
    <x v="8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63593"/>
    <s v="Repository: Eurostat special tabulation"/>
  </r>
  <r>
    <x v="8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21727"/>
    <s v="Repository: Eurostat special tabulation"/>
  </r>
  <r>
    <x v="9"/>
    <s v="LFS - Employment Survey"/>
    <s v="Employment by sex and economic activity - ISIC level 2 (thousands)"/>
    <x v="0"/>
    <s v="Economic activity (ISIC-Rev.4), 2 digit level: 62 - Computer programming, consultancy and related activities"/>
    <n v="2022"/>
    <n v="374514"/>
    <s v="Repository: ILO-STATISTICS - Micro data processing"/>
  </r>
  <r>
    <x v="9"/>
    <s v="LFS - Employment Survey"/>
    <s v="Employment by sex and economic activity - ISIC level 2 (thousands)"/>
    <x v="1"/>
    <s v="Economic activity (ISIC-Rev.4), 2 digit level: 62 - Computer programming, consultancy and related activities"/>
    <n v="2022"/>
    <n v="124653"/>
    <s v="Repository: ILO-STATISTICS - Micro data processing"/>
  </r>
  <r>
    <x v="10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34630"/>
    <s v="Repository: ILO-STATISTICS - Micro data processing"/>
  </r>
  <r>
    <x v="10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11534"/>
    <s v="Repository: ILO-STATISTICS - Micro data processing"/>
  </r>
  <r>
    <x v="11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23210"/>
    <s v="Repository: Eurostat special tabulation"/>
  </r>
  <r>
    <x v="11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6252"/>
    <s v="Repository: Eurostat special tabulation"/>
  </r>
  <r>
    <x v="12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78602"/>
    <s v="Repository: Eurostat special tabulation"/>
  </r>
  <r>
    <x v="12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20874"/>
    <s v="Repository: Eurostat special tabulation"/>
  </r>
  <r>
    <x v="13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85155"/>
    <s v="Repository: Eurostat special tabulation"/>
  </r>
  <r>
    <x v="13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34191"/>
    <s v="Repository: Eurostat special tabulation"/>
  </r>
  <r>
    <x v="14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301093"/>
    <s v="Repository: Eurostat special tabulation"/>
  </r>
  <r>
    <x v="14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93163"/>
    <s v="Repository: Eurostat special tabulation"/>
  </r>
  <r>
    <x v="15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23662"/>
    <s v="Repository: Eurostat special tabulation"/>
  </r>
  <r>
    <x v="15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10766"/>
    <s v="Repository: Eurostat special tabulation"/>
  </r>
  <r>
    <x v="16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5912"/>
    <s v="Repository: Eurostat special tabulation"/>
  </r>
  <r>
    <x v="16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2230"/>
    <s v="Repository: Eurostat special tabulation"/>
  </r>
  <r>
    <x v="17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19488"/>
    <s v="Repository: Eurostat special tabulation"/>
  </r>
  <r>
    <x v="17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7486"/>
    <s v="Repository: Eurostat special tabulation"/>
  </r>
  <r>
    <x v="18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5553"/>
    <s v="Repository: Eurostat special tabulation"/>
  </r>
  <r>
    <x v="18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1832"/>
    <s v="Repository: Eurostat special tabulation"/>
  </r>
  <r>
    <x v="19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230710"/>
    <s v="Repository: Eurostat special tabulation"/>
  </r>
  <r>
    <x v="19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62054"/>
    <s v="Repository: Eurostat special tabulation"/>
  </r>
  <r>
    <x v="20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268085"/>
    <s v="Repository: Eurostat special tabulation"/>
  </r>
  <r>
    <x v="20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75272"/>
    <s v="Repository: Eurostat special tabulation"/>
  </r>
  <r>
    <x v="21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74990"/>
    <s v="Repository: Eurostat special tabulation"/>
  </r>
  <r>
    <x v="21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32031"/>
    <s v="Repository: Eurostat special tabulation"/>
  </r>
  <r>
    <x v="22"/>
    <s v="LFS - Household Labour Force Survey"/>
    <s v="Employment by sex and economic activity - ISIC level 2 (thousands)"/>
    <x v="0"/>
    <s v="Economic activity (ISIC-Rev.4), 2 digit level: 62 - Computer programming, consultancy and related activities"/>
    <n v="2022"/>
    <n v="51912"/>
    <s v="Repository: Eurostat special tabulation"/>
  </r>
  <r>
    <x v="22"/>
    <s v="LFS - Household Labour Force Survey"/>
    <s v="Employment by sex and economic activity - ISIC level 2 (thousands)"/>
    <x v="1"/>
    <s v="Economic activity (ISIC-Rev.4), 2 digit level: 62 - Computer programming, consultancy and related activities"/>
    <n v="2022"/>
    <n v="20823"/>
    <s v="Repository: Eurostat special tabulation"/>
  </r>
  <r>
    <x v="23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49908"/>
    <s v="Repository: ILO-STATISTICS - Micro data processing"/>
  </r>
  <r>
    <x v="23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20526"/>
    <s v="Repository: ILO-STATISTICS - Micro data processing"/>
  </r>
  <r>
    <x v="24"/>
    <s v="LFS - Labour Force Survey"/>
    <s v="Employment by sex and economic activity - ISIC level 2 (thousands)"/>
    <x v="0"/>
    <s v="Economic activity (ISIC-Rev.4), 2 digit level: 62 - Computer programming, consultancy and related activities"/>
    <n v="2022"/>
    <n v="16534"/>
    <s v="Repository: Eurostat special tabulation"/>
  </r>
  <r>
    <x v="24"/>
    <s v="LFS - Labour Force Survey"/>
    <s v="Employment by sex and economic activity - ISIC level 2 (thousands)"/>
    <x v="1"/>
    <s v="Economic activity (ISIC-Rev.4), 2 digit level: 62 - Computer programming, consultancy and related activities"/>
    <n v="2022"/>
    <n v="4630"/>
    <s v="Repository: Eurostat special tabulation"/>
  </r>
  <r>
    <x v="25"/>
    <s v="LFS - EU Labour Force Survey"/>
    <s v="Employment by sex and economic activity - ISIC level 2 (thousands)"/>
    <x v="0"/>
    <s v="Economic activity (ISIC-Rev.4), 2 digit level: 62 - Computer programming, consultancy and related activities"/>
    <n v="2022"/>
    <n v="152305"/>
    <s v="Repository: Eurostat special tabulation"/>
  </r>
  <r>
    <x v="25"/>
    <s v="LFS - EU Labour Force Survey"/>
    <s v="Employment by sex and economic activity - ISIC level 2 (thousands)"/>
    <x v="1"/>
    <s v="Economic activity (ISIC-Rev.4), 2 digit level: 62 - Computer programming, consultancy and related activities"/>
    <n v="2022"/>
    <n v="44162"/>
    <s v="Repository: Eurostat special tabulati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44763"/>
    <s v="Repository: ILO-STATISTICS - Micro data processing"/>
  </r>
  <r>
    <x v="0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12142"/>
    <s v="Repository: ILO-STATISTICS - Micro data processing"/>
  </r>
  <r>
    <x v="1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57224"/>
    <s v="Repository: Eurostat special tabulation"/>
  </r>
  <r>
    <x v="1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3055"/>
    <s v="Repository: Eurostat special tabulation"/>
  </r>
  <r>
    <x v="2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20507"/>
    <s v="Repository: Eurostat special tabulation"/>
  </r>
  <r>
    <x v="2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6120"/>
    <s v="Repository: Eurostat special tabulation"/>
  </r>
  <r>
    <x v="3"/>
    <s v="LFS - Labour Force Sample Survey"/>
    <s v="Employment by sex and economic activity - ISIC level 2 (thousands)"/>
    <x v="0"/>
    <s v="Economic activity (ISIC-Rev.4), 2 digit level: 62 - Computer programming, consultancy and related activities"/>
    <n v="2014"/>
    <n v="62683"/>
    <s v="Repository: ILO-STATISTICS - Micro data processing"/>
  </r>
  <r>
    <x v="3"/>
    <s v="LFS - Labour Force Sample Survey"/>
    <s v="Employment by sex and economic activity - ISIC level 2 (thousands)"/>
    <x v="1"/>
    <s v="Economic activity (ISIC-Rev.4), 2 digit level: 62 - Computer programming, consultancy and related activities"/>
    <n v="2014"/>
    <n v="7628"/>
    <s v="Repository: ILO-STATISTICS - Micro data processing"/>
  </r>
  <r>
    <x v="4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379739"/>
    <s v="Repository: Eurostat special tabulation"/>
  </r>
  <r>
    <x v="4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17134"/>
    <s v="Repository: Eurostat special tabulation"/>
  </r>
  <r>
    <x v="5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50283"/>
    <s v="Repository: Eurostat special tabulation"/>
  </r>
  <r>
    <x v="5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2092"/>
    <s v="Repository: Eurostat special tabulation"/>
  </r>
  <r>
    <x v="6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175365"/>
    <s v="Repository: Eurostat special tabulation"/>
  </r>
  <r>
    <x v="6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59661"/>
    <s v="Repository: Eurostat special tabulation"/>
  </r>
  <r>
    <x v="7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7836"/>
    <s v="Repository: Eurostat special tabulation"/>
  </r>
  <r>
    <x v="7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2113"/>
    <s v="Repository: Eurostat special tabulation"/>
  </r>
  <r>
    <x v="8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42392"/>
    <s v="Repository: Eurostat special tabulation"/>
  </r>
  <r>
    <x v="8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2138"/>
    <s v="Repository: Eurostat special tabulation"/>
  </r>
  <r>
    <x v="9"/>
    <s v="LFS - Employment Survey"/>
    <s v="Employment by sex and economic activity - ISIC level 2 (thousands)"/>
    <x v="0"/>
    <s v="Economic activity (ISIC-Rev.4), 2 digit level: 62 - Computer programming, consultancy and related activities"/>
    <n v="2014"/>
    <n v="237421"/>
    <s v="Repository: ILO-STATISTICS - Micro data processing"/>
  </r>
  <r>
    <x v="9"/>
    <s v="LFS - Employment Survey"/>
    <s v="Employment by sex and economic activity - ISIC level 2 (thousands)"/>
    <x v="1"/>
    <s v="Economic activity (ISIC-Rev.4), 2 digit level: 62 - Computer programming, consultancy and related activities"/>
    <n v="2014"/>
    <n v="80449"/>
    <s v="Repository: ILO-STATISTICS - Micro data processing"/>
  </r>
  <r>
    <x v="10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13410"/>
    <s v="Repository: ILO-STATISTICS - Micro data processing"/>
  </r>
  <r>
    <x v="10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3207"/>
    <s v="Repository: ILO-STATISTICS - Micro data processing"/>
  </r>
  <r>
    <x v="11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11765"/>
    <s v="Repository: Eurostat special tabulation"/>
  </r>
  <r>
    <x v="11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3819"/>
    <s v="Repository: Eurostat special tabulation"/>
  </r>
  <r>
    <x v="12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39068"/>
    <s v="Repository: Eurostat special tabulation"/>
  </r>
  <r>
    <x v="12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9234"/>
    <s v="Repository: Eurostat special tabulation"/>
  </r>
  <r>
    <x v="13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38733"/>
    <s v="Repository: Eurostat special tabulation"/>
  </r>
  <r>
    <x v="13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6352"/>
    <s v="Repository: Eurostat special tabulation"/>
  </r>
  <r>
    <x v="14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208028"/>
    <s v="Repository: Eurostat special tabulation"/>
  </r>
  <r>
    <x v="14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58164"/>
    <s v="Repository: Eurostat special tabulation"/>
  </r>
  <r>
    <x v="15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7760"/>
    <s v="Repository: Eurostat special tabulation"/>
  </r>
  <r>
    <x v="15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1802"/>
    <s v="Repository: Eurostat special tabulation"/>
  </r>
  <r>
    <x v="16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2451"/>
    <s v="Repository: Eurostat special tabulation"/>
  </r>
  <r>
    <x v="16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746"/>
    <s v="Repository: Eurostat special tabulation"/>
  </r>
  <r>
    <x v="17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7456"/>
    <s v="Repository: Eurostat special tabulation"/>
  </r>
  <r>
    <x v="17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3176"/>
    <s v="Repository: Eurostat special tabulation"/>
  </r>
  <r>
    <x v="18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2537"/>
    <s v="Repository: Eurostat special tabulation"/>
  </r>
  <r>
    <x v="18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450"/>
    <s v="Repository: Eurostat special tabulation"/>
  </r>
  <r>
    <x v="19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120102"/>
    <s v="Repository: Eurostat special tabulation"/>
  </r>
  <r>
    <x v="19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23697"/>
    <s v="Repository: Eurostat special tabulation"/>
  </r>
  <r>
    <x v="20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122282"/>
    <s v="Repository: Eurostat special tabulation"/>
  </r>
  <r>
    <x v="20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31169"/>
    <s v="Repository: Eurostat special tabulation"/>
  </r>
  <r>
    <x v="21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39556"/>
    <s v="Repository: Eurostat special tabulation"/>
  </r>
  <r>
    <x v="21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9937"/>
    <s v="Repository: Eurostat special tabulation"/>
  </r>
  <r>
    <x v="22"/>
    <s v="LFS - Household Labour Force Survey"/>
    <s v="Employment by sex and economic activity - ISIC level 2 (thousands)"/>
    <x v="0"/>
    <s v="Economic activity (ISIC-Rev.4), 2 digit level: 62 - Computer programming, consultancy and related activities"/>
    <n v="2014"/>
    <n v="14748"/>
    <s v="Repository: Eurostat special tabulation"/>
  </r>
  <r>
    <x v="22"/>
    <s v="LFS - Household Labour Force Survey"/>
    <s v="Employment by sex and economic activity - ISIC level 2 (thousands)"/>
    <x v="1"/>
    <s v="Economic activity (ISIC-Rev.4), 2 digit level: 62 - Computer programming, consultancy and related activities"/>
    <n v="2014"/>
    <n v="8778"/>
    <s v="Repository: Eurostat special tabulation"/>
  </r>
  <r>
    <x v="23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30477"/>
    <s v="Repository: ILO-STATISTICS - Micro data processing"/>
  </r>
  <r>
    <x v="23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5153"/>
    <s v="Repository: ILO-STATISTICS - Micro data processing"/>
  </r>
  <r>
    <x v="24"/>
    <s v="LFS - Labour Force Survey"/>
    <s v="Employment by sex and economic activity - ISIC level 2 (thousands)"/>
    <x v="0"/>
    <s v="Economic activity (ISIC-Rev.4), 2 digit level: 62 - Computer programming, consultancy and related activities"/>
    <n v="2014"/>
    <n v="10850"/>
    <s v="Repository: Eurostat special tabulation"/>
  </r>
  <r>
    <x v="24"/>
    <s v="LFS - Labour Force Survey"/>
    <s v="Employment by sex and economic activity - ISIC level 2 (thousands)"/>
    <x v="1"/>
    <s v="Economic activity (ISIC-Rev.4), 2 digit level: 62 - Computer programming, consultancy and related activities"/>
    <n v="2014"/>
    <n v="3522"/>
    <s v="Repository: Eurostat special tabulation"/>
  </r>
  <r>
    <x v="25"/>
    <s v="LFS - EU Labour Force Survey"/>
    <s v="Employment by sex and economic activity - ISIC level 2 (thousands)"/>
    <x v="0"/>
    <s v="Economic activity (ISIC-Rev.4), 2 digit level: 62 - Computer programming, consultancy and related activities"/>
    <n v="2014"/>
    <n v="83875"/>
    <s v="Repository: Eurostat special tabulation"/>
  </r>
  <r>
    <x v="25"/>
    <s v="LFS - EU Labour Force Survey"/>
    <s v="Employment by sex and economic activity - ISIC level 2 (thousands)"/>
    <x v="1"/>
    <s v="Economic activity (ISIC-Rev.4), 2 digit level: 62 - Computer programming, consultancy and related activities"/>
    <n v="2014"/>
    <n v="21763"/>
    <s v="Repository: Eurostat special tabul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9AB45-8A58-F449-A0F5-E9017D967E31}" name="Tabella pivot3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K11:N39" firstHeaderRow="1" firstDataRow="2" firstDataCol="1"/>
  <pivotFields count="8">
    <pivotField axis="axisRow" showAll="0">
      <items count="27">
        <item x="0"/>
        <item x="1"/>
        <item x="2"/>
        <item x="11"/>
        <item x="3"/>
        <item x="5"/>
        <item x="7"/>
        <item x="8"/>
        <item x="9"/>
        <item x="4"/>
        <item x="10"/>
        <item x="12"/>
        <item x="13"/>
        <item x="14"/>
        <item x="17"/>
        <item x="15"/>
        <item x="16"/>
        <item x="18"/>
        <item x="19"/>
        <item x="20"/>
        <item x="21"/>
        <item x="22"/>
        <item x="23"/>
        <item x="24"/>
        <item x="6"/>
        <item x="2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numFmtId="168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a di obs_value" fld="6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F0237-E085-DA4F-A4CC-D0C60A44F708}" name="Tabella pivot4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P12:S40" firstHeaderRow="1" firstDataRow="2" firstDataCol="1"/>
  <pivotFields count="8">
    <pivotField axis="axisRow" showAll="0">
      <items count="27">
        <item x="0"/>
        <item x="1"/>
        <item x="2"/>
        <item x="11"/>
        <item x="3"/>
        <item x="5"/>
        <item x="7"/>
        <item x="8"/>
        <item x="9"/>
        <item x="4"/>
        <item x="10"/>
        <item x="12"/>
        <item x="13"/>
        <item x="14"/>
        <item x="17"/>
        <item x="15"/>
        <item x="16"/>
        <item x="18"/>
        <item x="19"/>
        <item x="20"/>
        <item x="21"/>
        <item x="22"/>
        <item x="23"/>
        <item x="24"/>
        <item x="6"/>
        <item x="2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numFmtId="168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a di obs_value" fld="6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B5C05-9BB0-654A-B6BC-155562D35753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J5:M33" firstHeaderRow="1" firstDataRow="2" firstDataCol="1"/>
  <pivotFields count="8">
    <pivotField axis="axisRow" showAll="0">
      <items count="28">
        <item x="0"/>
        <item x="1"/>
        <item x="2"/>
        <item x="11"/>
        <item x="3"/>
        <item x="5"/>
        <item x="7"/>
        <item x="8"/>
        <item x="9"/>
        <item x="4"/>
        <item x="10"/>
        <item x="12"/>
        <item x="13"/>
        <item x="14"/>
        <item x="17"/>
        <item x="15"/>
        <item x="16"/>
        <item x="18"/>
        <item x="19"/>
        <item m="1" x="26"/>
        <item x="20"/>
        <item x="21"/>
        <item x="22"/>
        <item x="23"/>
        <item x="24"/>
        <item x="6"/>
        <item x="2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numFmtI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a di obs_value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966A3-7B7D-0746-B599-14ED0EE474B4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O5:R33" firstHeaderRow="1" firstDataRow="2" firstDataCol="1"/>
  <pivotFields count="8">
    <pivotField axis="axisRow" showAll="0">
      <items count="28">
        <item x="0"/>
        <item x="1"/>
        <item x="2"/>
        <item x="11"/>
        <item x="3"/>
        <item x="5"/>
        <item x="7"/>
        <item x="8"/>
        <item x="9"/>
        <item x="4"/>
        <item x="10"/>
        <item x="12"/>
        <item x="13"/>
        <item x="14"/>
        <item x="17"/>
        <item x="15"/>
        <item x="16"/>
        <item x="18"/>
        <item x="19"/>
        <item m="1" x="26"/>
        <item x="20"/>
        <item x="21"/>
        <item x="22"/>
        <item x="23"/>
        <item x="24"/>
        <item x="6"/>
        <item x="2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numFmtI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a di obs_value" fld="6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lo ue cvs" connectionId="1" xr16:uid="{87D06B8C-0152-3844-8FC6-B38102357BD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7E41-B19D-8B4E-AEFB-DA2C3F0447BF}">
  <dimension ref="A1:E43"/>
  <sheetViews>
    <sheetView zoomScale="70" zoomScaleNormal="70" workbookViewId="0">
      <selection activeCell="H46" sqref="H46"/>
    </sheetView>
  </sheetViews>
  <sheetFormatPr baseColWidth="10" defaultRowHeight="16" x14ac:dyDescent="0.2"/>
  <cols>
    <col min="4" max="4" width="11.6640625" bestFit="1" customWidth="1"/>
  </cols>
  <sheetData>
    <row r="1" spans="2:4" x14ac:dyDescent="0.2">
      <c r="B1" s="22"/>
      <c r="C1" s="22" t="s">
        <v>101</v>
      </c>
      <c r="D1" s="22" t="s">
        <v>102</v>
      </c>
    </row>
    <row r="2" spans="2:4" x14ac:dyDescent="0.2">
      <c r="B2" s="1" t="s">
        <v>71</v>
      </c>
      <c r="C2" s="1">
        <v>87.6</v>
      </c>
      <c r="D2" s="1">
        <v>12.4</v>
      </c>
    </row>
    <row r="3" spans="2:4" x14ac:dyDescent="0.2">
      <c r="B3" s="1" t="s">
        <v>103</v>
      </c>
      <c r="C3" s="2">
        <v>86.2</v>
      </c>
      <c r="D3" s="2">
        <v>13.8</v>
      </c>
    </row>
    <row r="4" spans="2:4" x14ac:dyDescent="0.2">
      <c r="B4" s="1" t="s">
        <v>84</v>
      </c>
      <c r="C4" s="2">
        <v>84.3</v>
      </c>
      <c r="D4" s="2">
        <v>15.7</v>
      </c>
    </row>
    <row r="5" spans="2:4" x14ac:dyDescent="0.2">
      <c r="B5" s="1" t="s">
        <v>81</v>
      </c>
      <c r="C5" s="2">
        <v>84.3</v>
      </c>
      <c r="D5" s="2">
        <v>15.7</v>
      </c>
    </row>
    <row r="6" spans="2:4" x14ac:dyDescent="0.2">
      <c r="B6" s="1" t="s">
        <v>98</v>
      </c>
      <c r="C6" s="2">
        <v>82.9</v>
      </c>
      <c r="D6" s="2">
        <v>17.100000000000001</v>
      </c>
    </row>
    <row r="7" spans="2:4" x14ac:dyDescent="0.2">
      <c r="B7" s="1" t="s">
        <v>80</v>
      </c>
      <c r="C7" s="2">
        <v>82.6</v>
      </c>
      <c r="D7" s="2">
        <v>17.399999999999999</v>
      </c>
    </row>
    <row r="8" spans="2:4" x14ac:dyDescent="0.2">
      <c r="B8" s="1" t="s">
        <v>97</v>
      </c>
      <c r="C8" s="2">
        <v>82.6</v>
      </c>
      <c r="D8" s="2">
        <v>17.399999999999999</v>
      </c>
    </row>
    <row r="9" spans="2:4" x14ac:dyDescent="0.2">
      <c r="B9" s="1" t="s">
        <v>91</v>
      </c>
      <c r="C9" s="2">
        <v>81.099999999999994</v>
      </c>
      <c r="D9" s="2">
        <v>18.899999999999999</v>
      </c>
    </row>
    <row r="10" spans="2:4" x14ac:dyDescent="0.2">
      <c r="B10" s="1" t="s">
        <v>72</v>
      </c>
      <c r="C10" s="2">
        <v>81</v>
      </c>
      <c r="D10" s="2">
        <v>19</v>
      </c>
    </row>
    <row r="11" spans="2:4" x14ac:dyDescent="0.2">
      <c r="B11" s="1" t="s">
        <v>93</v>
      </c>
      <c r="C11" s="2">
        <v>80.900000000000006</v>
      </c>
      <c r="D11" s="2">
        <v>19.100000000000001</v>
      </c>
    </row>
    <row r="12" spans="2:4" x14ac:dyDescent="0.2">
      <c r="B12" s="1" t="s">
        <v>65</v>
      </c>
      <c r="C12" s="2">
        <v>80.599999999999994</v>
      </c>
      <c r="D12" s="2">
        <v>19.399999999999999</v>
      </c>
    </row>
    <row r="13" spans="2:4" x14ac:dyDescent="0.2">
      <c r="B13" s="1" t="s">
        <v>74</v>
      </c>
      <c r="C13" s="2">
        <v>80.5</v>
      </c>
      <c r="D13" s="2">
        <v>19.5</v>
      </c>
    </row>
    <row r="14" spans="2:4" x14ac:dyDescent="0.2">
      <c r="B14" s="1" t="s">
        <v>64</v>
      </c>
      <c r="C14" s="2">
        <v>80.5</v>
      </c>
      <c r="D14" s="2">
        <v>19.5</v>
      </c>
    </row>
    <row r="15" spans="2:4" x14ac:dyDescent="0.2">
      <c r="B15" s="1" t="s">
        <v>79</v>
      </c>
      <c r="C15" s="2">
        <v>80.2</v>
      </c>
      <c r="D15" s="2">
        <v>19.8</v>
      </c>
    </row>
    <row r="16" spans="2:4" x14ac:dyDescent="0.2">
      <c r="B16" s="1" t="s">
        <v>86</v>
      </c>
      <c r="C16" s="2">
        <v>80</v>
      </c>
      <c r="D16" s="2">
        <v>20</v>
      </c>
    </row>
    <row r="17" spans="2:4" x14ac:dyDescent="0.2">
      <c r="B17" s="1" t="s">
        <v>94</v>
      </c>
      <c r="C17" s="2">
        <v>80</v>
      </c>
      <c r="D17" s="2">
        <v>20</v>
      </c>
    </row>
    <row r="18" spans="2:4" x14ac:dyDescent="0.2">
      <c r="B18" s="1" t="s">
        <v>77</v>
      </c>
      <c r="C18" s="2">
        <v>79.900000000000006</v>
      </c>
      <c r="D18" s="2">
        <v>20.100000000000001</v>
      </c>
    </row>
    <row r="19" spans="2:4" x14ac:dyDescent="0.2">
      <c r="B19" s="1" t="s">
        <v>76</v>
      </c>
      <c r="C19" s="2">
        <v>77.8</v>
      </c>
      <c r="D19" s="2">
        <v>22.2</v>
      </c>
    </row>
    <row r="20" spans="2:4" x14ac:dyDescent="0.2">
      <c r="B20" s="1" t="s">
        <v>87</v>
      </c>
      <c r="C20" s="2">
        <v>77.5</v>
      </c>
      <c r="D20" s="2">
        <v>22.5</v>
      </c>
    </row>
    <row r="21" spans="2:4" x14ac:dyDescent="0.2">
      <c r="B21" s="1" t="s">
        <v>73</v>
      </c>
      <c r="C21" s="2">
        <v>77.400000000000006</v>
      </c>
      <c r="D21" s="2">
        <v>22.6</v>
      </c>
    </row>
    <row r="22" spans="2:4" x14ac:dyDescent="0.2">
      <c r="B22" s="1" t="s">
        <v>99</v>
      </c>
      <c r="C22" s="1">
        <v>77.2</v>
      </c>
      <c r="D22" s="1">
        <v>22.8</v>
      </c>
    </row>
    <row r="23" spans="2:4" x14ac:dyDescent="0.2">
      <c r="B23" s="1" t="s">
        <v>70</v>
      </c>
      <c r="C23" s="1">
        <v>76</v>
      </c>
      <c r="D23" s="1">
        <v>24</v>
      </c>
    </row>
    <row r="24" spans="2:4" x14ac:dyDescent="0.2">
      <c r="B24" s="1" t="s">
        <v>88</v>
      </c>
      <c r="C24" s="1">
        <v>76</v>
      </c>
      <c r="D24" s="1">
        <v>24</v>
      </c>
    </row>
    <row r="25" spans="2:4" x14ac:dyDescent="0.2">
      <c r="B25" s="1" t="s">
        <v>82</v>
      </c>
      <c r="C25" s="1">
        <v>75.7</v>
      </c>
      <c r="D25" s="1">
        <v>24.3</v>
      </c>
    </row>
    <row r="26" spans="2:4" x14ac:dyDescent="0.2">
      <c r="B26" s="1" t="s">
        <v>95</v>
      </c>
      <c r="C26" s="1">
        <v>74</v>
      </c>
      <c r="D26" s="1">
        <v>26</v>
      </c>
    </row>
    <row r="27" spans="2:4" x14ac:dyDescent="0.2">
      <c r="B27" s="1" t="s">
        <v>75</v>
      </c>
      <c r="C27" s="1">
        <v>73.2</v>
      </c>
      <c r="D27" s="1">
        <v>26.8</v>
      </c>
    </row>
    <row r="28" spans="2:4" x14ac:dyDescent="0.2">
      <c r="B28" s="1" t="s">
        <v>66</v>
      </c>
      <c r="C28" s="1">
        <v>70.900000000000006</v>
      </c>
      <c r="D28" s="1">
        <v>29.1</v>
      </c>
    </row>
    <row r="30" spans="2:4" x14ac:dyDescent="0.2">
      <c r="B30" s="21"/>
      <c r="C30" s="21" t="s">
        <v>149</v>
      </c>
      <c r="D30" s="21" t="s">
        <v>150</v>
      </c>
    </row>
    <row r="31" spans="2:4" x14ac:dyDescent="0.2">
      <c r="B31" s="1" t="s">
        <v>148</v>
      </c>
      <c r="C31" s="56">
        <f>AVERAGE(C2:C28)</f>
        <v>79.662962962962979</v>
      </c>
      <c r="D31" s="56">
        <f>AVERAGE(D2:D28)</f>
        <v>20.337037037037042</v>
      </c>
    </row>
    <row r="33" spans="1:5" x14ac:dyDescent="0.2">
      <c r="B33" t="s">
        <v>151</v>
      </c>
      <c r="D33">
        <f>MAX(D2:D28)</f>
        <v>29.1</v>
      </c>
      <c r="E33" t="s">
        <v>152</v>
      </c>
    </row>
    <row r="34" spans="1:5" x14ac:dyDescent="0.2">
      <c r="B34" t="s">
        <v>153</v>
      </c>
      <c r="D34">
        <f>MIN(D2:D28)</f>
        <v>12.4</v>
      </c>
      <c r="E34" t="s">
        <v>154</v>
      </c>
    </row>
    <row r="43" spans="1:5" x14ac:dyDescent="0.2">
      <c r="A43" t="s">
        <v>237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032E-32C0-8744-A481-9BE8C5E6F07B}">
  <dimension ref="A1:H46"/>
  <sheetViews>
    <sheetView topLeftCell="A22" zoomScale="90" zoomScaleNormal="90" workbookViewId="0">
      <selection activeCell="F53" sqref="F53"/>
    </sheetView>
  </sheetViews>
  <sheetFormatPr baseColWidth="10" defaultRowHeight="16" x14ac:dyDescent="0.2"/>
  <sheetData>
    <row r="1" spans="2:8" x14ac:dyDescent="0.2">
      <c r="B1" s="65"/>
      <c r="C1" s="67" t="s">
        <v>101</v>
      </c>
      <c r="D1" s="68"/>
      <c r="E1" s="67" t="s">
        <v>102</v>
      </c>
      <c r="F1" s="68"/>
    </row>
    <row r="2" spans="2:8" x14ac:dyDescent="0.2">
      <c r="B2" s="66"/>
      <c r="C2" s="23">
        <v>2013</v>
      </c>
      <c r="D2" s="24">
        <v>2023</v>
      </c>
      <c r="E2" s="23">
        <v>2013</v>
      </c>
      <c r="F2" s="24">
        <v>2023</v>
      </c>
      <c r="G2" s="1"/>
      <c r="H2" s="1"/>
    </row>
    <row r="3" spans="2:8" x14ac:dyDescent="0.2">
      <c r="B3" s="3" t="s">
        <v>65</v>
      </c>
      <c r="C3" s="4">
        <v>84.5</v>
      </c>
      <c r="D3" s="5">
        <v>80.599999999999994</v>
      </c>
      <c r="E3" s="4">
        <v>15.5</v>
      </c>
      <c r="F3" s="5">
        <v>19.399999999999999</v>
      </c>
      <c r="G3" s="1"/>
      <c r="H3" s="2"/>
    </row>
    <row r="4" spans="2:8" x14ac:dyDescent="0.2">
      <c r="B4" s="6" t="s">
        <v>66</v>
      </c>
      <c r="C4" s="7">
        <v>70.099999999999994</v>
      </c>
      <c r="D4" s="8">
        <v>70.900000000000006</v>
      </c>
      <c r="E4" s="7">
        <v>29.9</v>
      </c>
      <c r="F4" s="8">
        <v>29.1</v>
      </c>
      <c r="G4" s="1"/>
      <c r="H4" s="2"/>
    </row>
    <row r="5" spans="2:8" x14ac:dyDescent="0.2">
      <c r="B5" s="9" t="s">
        <v>71</v>
      </c>
      <c r="C5" s="10">
        <v>89.4</v>
      </c>
      <c r="D5" s="11">
        <v>87.6</v>
      </c>
      <c r="E5" s="10">
        <v>10.6</v>
      </c>
      <c r="F5" s="11">
        <v>12.4</v>
      </c>
      <c r="G5" s="1"/>
      <c r="H5" s="2"/>
    </row>
    <row r="6" spans="2:8" x14ac:dyDescent="0.2">
      <c r="B6" s="12" t="s">
        <v>73</v>
      </c>
      <c r="C6" s="13">
        <v>80.900000000000006</v>
      </c>
      <c r="D6" s="14">
        <v>77.400000000000006</v>
      </c>
      <c r="E6" s="13">
        <v>19.100000000000001</v>
      </c>
      <c r="F6" s="14">
        <v>22.6</v>
      </c>
      <c r="G6" s="1"/>
      <c r="H6" s="2"/>
    </row>
    <row r="7" spans="2:8" x14ac:dyDescent="0.2">
      <c r="B7" s="12" t="s">
        <v>72</v>
      </c>
      <c r="C7" s="13">
        <v>84.4</v>
      </c>
      <c r="D7" s="14">
        <v>81</v>
      </c>
      <c r="E7" s="13">
        <v>15.6</v>
      </c>
      <c r="F7" s="14">
        <v>19</v>
      </c>
      <c r="G7" s="1"/>
      <c r="H7" s="2"/>
    </row>
    <row r="8" spans="2:8" x14ac:dyDescent="0.2">
      <c r="B8" s="12" t="s">
        <v>75</v>
      </c>
      <c r="C8" s="13">
        <v>79.3</v>
      </c>
      <c r="D8" s="14">
        <v>73.2</v>
      </c>
      <c r="E8" s="13">
        <v>20.7</v>
      </c>
      <c r="F8" s="14">
        <v>26.8</v>
      </c>
      <c r="G8" s="1"/>
      <c r="H8" s="2"/>
    </row>
    <row r="9" spans="2:8" x14ac:dyDescent="0.2">
      <c r="B9" s="12" t="s">
        <v>82</v>
      </c>
      <c r="C9" s="13">
        <v>76.7</v>
      </c>
      <c r="D9" s="14">
        <v>75.7</v>
      </c>
      <c r="E9" s="13">
        <v>23.3</v>
      </c>
      <c r="F9" s="14">
        <v>24.3</v>
      </c>
      <c r="G9" s="1"/>
      <c r="H9" s="2"/>
    </row>
    <row r="10" spans="2:8" x14ac:dyDescent="0.2">
      <c r="B10" s="12" t="s">
        <v>79</v>
      </c>
      <c r="C10" s="13">
        <v>79.2</v>
      </c>
      <c r="D10" s="14">
        <v>80.2</v>
      </c>
      <c r="E10" s="13">
        <v>20.8</v>
      </c>
      <c r="F10" s="14">
        <v>19.8</v>
      </c>
      <c r="G10" s="1"/>
      <c r="H10" s="2"/>
    </row>
    <row r="11" spans="2:8" x14ac:dyDescent="0.2">
      <c r="B11" s="12" t="s">
        <v>74</v>
      </c>
      <c r="C11" s="13">
        <v>80.900000000000006</v>
      </c>
      <c r="D11" s="14">
        <v>80.5</v>
      </c>
      <c r="E11" s="13">
        <v>19.100000000000001</v>
      </c>
      <c r="F11" s="14">
        <v>19.5</v>
      </c>
      <c r="G11" s="1"/>
      <c r="H11" s="2"/>
    </row>
    <row r="12" spans="2:8" x14ac:dyDescent="0.2">
      <c r="B12" s="12" t="s">
        <v>77</v>
      </c>
      <c r="C12" s="13">
        <v>80.5</v>
      </c>
      <c r="D12" s="14">
        <v>79.900000000000006</v>
      </c>
      <c r="E12" s="13">
        <v>19.5</v>
      </c>
      <c r="F12" s="14">
        <v>20.100000000000001</v>
      </c>
      <c r="G12" s="1"/>
      <c r="H12" s="2"/>
    </row>
    <row r="13" spans="2:8" x14ac:dyDescent="0.2">
      <c r="B13" s="12" t="s">
        <v>104</v>
      </c>
      <c r="C13" s="13">
        <v>82.1</v>
      </c>
      <c r="D13" s="14">
        <v>82.6</v>
      </c>
      <c r="E13" s="13">
        <v>17.899999999999999</v>
      </c>
      <c r="F13" s="14">
        <v>17.399999999999999</v>
      </c>
      <c r="G13" s="1"/>
      <c r="H13" s="2"/>
    </row>
    <row r="14" spans="2:8" x14ac:dyDescent="0.2">
      <c r="B14" s="12" t="s">
        <v>84</v>
      </c>
      <c r="C14" s="13">
        <v>85.6</v>
      </c>
      <c r="D14" s="14">
        <v>84.3</v>
      </c>
      <c r="E14" s="13">
        <v>14.4</v>
      </c>
      <c r="F14" s="14">
        <v>15.7</v>
      </c>
      <c r="G14" s="1"/>
      <c r="H14" s="2"/>
    </row>
    <row r="15" spans="2:8" x14ac:dyDescent="0.2">
      <c r="B15" s="12" t="s">
        <v>70</v>
      </c>
      <c r="C15" s="13">
        <v>83.6</v>
      </c>
      <c r="D15" s="14">
        <v>76</v>
      </c>
      <c r="E15" s="13">
        <v>16.399999999999999</v>
      </c>
      <c r="F15" s="14">
        <v>24</v>
      </c>
      <c r="G15" s="1"/>
      <c r="H15" s="2"/>
    </row>
    <row r="16" spans="2:8" x14ac:dyDescent="0.2">
      <c r="B16" s="12" t="s">
        <v>88</v>
      </c>
      <c r="C16" s="13">
        <v>76.099999999999994</v>
      </c>
      <c r="D16" s="14">
        <v>76</v>
      </c>
      <c r="E16" s="13">
        <v>23.9</v>
      </c>
      <c r="F16" s="14">
        <v>24</v>
      </c>
      <c r="G16" s="1"/>
      <c r="H16" s="2"/>
    </row>
    <row r="17" spans="2:8" x14ac:dyDescent="0.2">
      <c r="B17" s="12" t="s">
        <v>105</v>
      </c>
      <c r="C17" s="14">
        <v>82.2</v>
      </c>
      <c r="D17" s="14">
        <v>80</v>
      </c>
      <c r="E17" s="13">
        <v>17.8</v>
      </c>
      <c r="F17" s="14">
        <v>20</v>
      </c>
      <c r="G17" s="1"/>
      <c r="H17" s="2"/>
    </row>
    <row r="18" spans="2:8" x14ac:dyDescent="0.2">
      <c r="B18" s="12" t="s">
        <v>87</v>
      </c>
      <c r="C18" s="13">
        <v>87.7</v>
      </c>
      <c r="D18" s="14">
        <v>77.5</v>
      </c>
      <c r="E18" s="13">
        <v>12.3</v>
      </c>
      <c r="F18" s="14">
        <v>22.5</v>
      </c>
      <c r="G18" s="1"/>
      <c r="H18" s="2"/>
    </row>
    <row r="19" spans="2:8" x14ac:dyDescent="0.2">
      <c r="B19" s="12" t="s">
        <v>81</v>
      </c>
      <c r="C19" s="13">
        <v>89.6</v>
      </c>
      <c r="D19" s="14">
        <v>84.3</v>
      </c>
      <c r="E19" s="13">
        <v>10.4</v>
      </c>
      <c r="F19" s="14">
        <v>15.7</v>
      </c>
      <c r="G19" s="1"/>
      <c r="H19" s="2"/>
    </row>
    <row r="20" spans="2:8" x14ac:dyDescent="0.2">
      <c r="B20" s="12" t="s">
        <v>106</v>
      </c>
      <c r="C20" s="13">
        <v>86.1</v>
      </c>
      <c r="D20" s="14">
        <v>86.2</v>
      </c>
      <c r="E20" s="13">
        <v>13.9</v>
      </c>
      <c r="F20" s="14">
        <v>13.8</v>
      </c>
      <c r="G20" s="1"/>
      <c r="H20" s="2"/>
    </row>
    <row r="21" spans="2:8" x14ac:dyDescent="0.2">
      <c r="B21" s="12" t="s">
        <v>91</v>
      </c>
      <c r="C21" s="13">
        <v>85.7</v>
      </c>
      <c r="D21" s="14">
        <v>81.099999999999994</v>
      </c>
      <c r="E21" s="13">
        <v>14.3</v>
      </c>
      <c r="F21" s="14">
        <v>18.899999999999999</v>
      </c>
      <c r="G21" s="1"/>
      <c r="H21" s="2"/>
    </row>
    <row r="22" spans="2:8" x14ac:dyDescent="0.2">
      <c r="B22" s="12" t="s">
        <v>64</v>
      </c>
      <c r="C22" s="13">
        <v>85.8</v>
      </c>
      <c r="D22" s="14">
        <v>80.5</v>
      </c>
      <c r="E22" s="13">
        <v>14.2</v>
      </c>
      <c r="F22" s="14">
        <v>19.5</v>
      </c>
      <c r="G22" s="1"/>
      <c r="H22" s="1"/>
    </row>
    <row r="23" spans="2:8" x14ac:dyDescent="0.2">
      <c r="B23" s="12" t="s">
        <v>93</v>
      </c>
      <c r="C23" s="13">
        <v>85.6</v>
      </c>
      <c r="D23" s="14">
        <v>80.900000000000006</v>
      </c>
      <c r="E23" s="13">
        <v>14.4</v>
      </c>
      <c r="F23" s="14">
        <v>19.100000000000001</v>
      </c>
      <c r="G23" s="1"/>
      <c r="H23" s="1"/>
    </row>
    <row r="24" spans="2:8" x14ac:dyDescent="0.2">
      <c r="B24" s="12" t="s">
        <v>94</v>
      </c>
      <c r="C24" s="13">
        <v>86.6</v>
      </c>
      <c r="D24" s="14">
        <v>80</v>
      </c>
      <c r="E24" s="13">
        <v>13.4</v>
      </c>
      <c r="F24" s="14">
        <v>20</v>
      </c>
      <c r="G24" s="1"/>
      <c r="H24" s="1"/>
    </row>
    <row r="25" spans="2:8" x14ac:dyDescent="0.2">
      <c r="B25" s="12" t="s">
        <v>95</v>
      </c>
      <c r="C25" s="13">
        <v>76.5</v>
      </c>
      <c r="D25" s="14">
        <v>74</v>
      </c>
      <c r="E25" s="13">
        <v>23.5</v>
      </c>
      <c r="F25" s="14">
        <v>26</v>
      </c>
      <c r="G25" s="1"/>
      <c r="H25" s="1"/>
    </row>
    <row r="26" spans="2:8" x14ac:dyDescent="0.2">
      <c r="B26" s="12" t="s">
        <v>107</v>
      </c>
      <c r="C26" s="13">
        <v>87.3</v>
      </c>
      <c r="D26" s="14">
        <v>82.9</v>
      </c>
      <c r="E26" s="13">
        <v>12.7</v>
      </c>
      <c r="F26" s="14">
        <v>17.100000000000001</v>
      </c>
      <c r="G26" s="1"/>
      <c r="H26" s="1"/>
    </row>
    <row r="27" spans="2:8" x14ac:dyDescent="0.2">
      <c r="B27" s="12" t="s">
        <v>97</v>
      </c>
      <c r="C27" s="13">
        <v>90.9</v>
      </c>
      <c r="D27" s="14">
        <v>82.6</v>
      </c>
      <c r="E27" s="13">
        <v>9.1</v>
      </c>
      <c r="F27" s="14">
        <v>17.399999999999999</v>
      </c>
      <c r="G27" s="1"/>
      <c r="H27" s="1"/>
    </row>
    <row r="28" spans="2:8" x14ac:dyDescent="0.2">
      <c r="B28" s="15" t="s">
        <v>76</v>
      </c>
      <c r="C28" s="16">
        <v>79.3</v>
      </c>
      <c r="D28" s="17">
        <v>77.8</v>
      </c>
      <c r="E28" s="16">
        <v>20.7</v>
      </c>
      <c r="F28" s="17">
        <v>22.2</v>
      </c>
      <c r="G28" s="1"/>
      <c r="H28" s="1"/>
    </row>
    <row r="29" spans="2:8" x14ac:dyDescent="0.2">
      <c r="B29" s="15" t="s">
        <v>99</v>
      </c>
      <c r="C29" s="16">
        <v>80.400000000000006</v>
      </c>
      <c r="D29" s="17">
        <v>77.2</v>
      </c>
      <c r="E29" s="16">
        <v>19.600000000000001</v>
      </c>
      <c r="F29" s="17">
        <v>22.8</v>
      </c>
    </row>
    <row r="30" spans="2:8" x14ac:dyDescent="0.2">
      <c r="B30" s="25"/>
    </row>
    <row r="32" spans="2:8" x14ac:dyDescent="0.2">
      <c r="C32" s="63" t="s">
        <v>148</v>
      </c>
      <c r="D32" s="64"/>
      <c r="E32" s="64"/>
      <c r="F32" s="64"/>
    </row>
    <row r="33" spans="1:6" x14ac:dyDescent="0.2">
      <c r="C33" s="59" t="s">
        <v>101</v>
      </c>
      <c r="D33" s="60"/>
      <c r="E33" s="61" t="s">
        <v>102</v>
      </c>
      <c r="F33" s="62"/>
    </row>
    <row r="34" spans="1:6" x14ac:dyDescent="0.2">
      <c r="C34" s="28">
        <v>2013</v>
      </c>
      <c r="D34" s="28">
        <v>2023</v>
      </c>
      <c r="E34" s="28">
        <v>2013</v>
      </c>
      <c r="F34" s="28">
        <v>2023</v>
      </c>
    </row>
    <row r="35" spans="1:6" x14ac:dyDescent="0.2">
      <c r="B35" t="s">
        <v>155</v>
      </c>
      <c r="C35" s="26">
        <f>AVERAGE(C3:C29)</f>
        <v>82.851851851851848</v>
      </c>
      <c r="D35" s="26">
        <f>AVERAGE(D3:D29)</f>
        <v>79.662962962962965</v>
      </c>
      <c r="E35" s="26">
        <f>AVERAGE(E3:E29)</f>
        <v>17.148148148148145</v>
      </c>
      <c r="F35" s="26">
        <f>AVERAGE(F3:F29)</f>
        <v>20.337037037037039</v>
      </c>
    </row>
    <row r="39" spans="1:6" x14ac:dyDescent="0.2">
      <c r="C39" s="27" t="s">
        <v>161</v>
      </c>
      <c r="D39" s="27" t="s">
        <v>160</v>
      </c>
      <c r="E39" t="s">
        <v>161</v>
      </c>
      <c r="F39" t="s">
        <v>160</v>
      </c>
    </row>
    <row r="40" spans="1:6" x14ac:dyDescent="0.2">
      <c r="C40" t="s">
        <v>156</v>
      </c>
      <c r="D40" t="s">
        <v>157</v>
      </c>
      <c r="E40" t="s">
        <v>158</v>
      </c>
      <c r="F40" t="s">
        <v>159</v>
      </c>
    </row>
    <row r="41" spans="1:6" x14ac:dyDescent="0.2">
      <c r="B41" t="s">
        <v>155</v>
      </c>
      <c r="C41">
        <v>82.9</v>
      </c>
      <c r="D41">
        <v>17.100000000000001</v>
      </c>
      <c r="E41">
        <v>79.7</v>
      </c>
      <c r="F41">
        <v>20.3</v>
      </c>
    </row>
    <row r="46" spans="1:6" x14ac:dyDescent="0.2">
      <c r="A46" t="s">
        <v>237</v>
      </c>
    </row>
  </sheetData>
  <mergeCells count="6">
    <mergeCell ref="C33:D33"/>
    <mergeCell ref="E33:F33"/>
    <mergeCell ref="C32:F32"/>
    <mergeCell ref="B1:B2"/>
    <mergeCell ref="C1:D1"/>
    <mergeCell ref="E1:F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7B54-B1E9-8942-A879-5C42D7DD8814}">
  <dimension ref="A1:AF628"/>
  <sheetViews>
    <sheetView zoomScale="60" zoomScaleNormal="60" workbookViewId="0">
      <selection activeCell="N8" sqref="N8"/>
    </sheetView>
  </sheetViews>
  <sheetFormatPr baseColWidth="10" defaultRowHeight="16" x14ac:dyDescent="0.2"/>
  <cols>
    <col min="1" max="1" width="44.33203125" bestFit="1" customWidth="1"/>
    <col min="2" max="2" width="31" bestFit="1" customWidth="1"/>
    <col min="3" max="3" width="55.83203125" bestFit="1" customWidth="1"/>
    <col min="5" max="5" width="80.6640625" bestFit="1" customWidth="1"/>
    <col min="6" max="6" width="9.5" bestFit="1" customWidth="1"/>
    <col min="7" max="7" width="11.6640625" style="19" bestFit="1" customWidth="1"/>
    <col min="8" max="8" width="80.6640625" bestFit="1" customWidth="1"/>
    <col min="11" max="11" width="18.83203125" bestFit="1" customWidth="1"/>
    <col min="12" max="12" width="22" bestFit="1" customWidth="1"/>
    <col min="13" max="13" width="14" bestFit="1" customWidth="1"/>
    <col min="14" max="14" width="17.5" bestFit="1" customWidth="1"/>
    <col min="16" max="16" width="18.83203125" bestFit="1" customWidth="1"/>
    <col min="17" max="17" width="22" bestFit="1" customWidth="1"/>
    <col min="18" max="18" width="9.5" bestFit="1" customWidth="1"/>
    <col min="19" max="19" width="17.5" bestFit="1" customWidth="1"/>
  </cols>
  <sheetData>
    <row r="1" spans="1:19" x14ac:dyDescent="0.2">
      <c r="A1" t="s">
        <v>62</v>
      </c>
      <c r="B1" t="s">
        <v>0</v>
      </c>
      <c r="C1" t="s">
        <v>108</v>
      </c>
      <c r="D1" t="s">
        <v>1</v>
      </c>
      <c r="E1" t="s">
        <v>109</v>
      </c>
      <c r="F1" t="s">
        <v>2</v>
      </c>
      <c r="G1" s="50" t="s">
        <v>3</v>
      </c>
      <c r="H1" t="s">
        <v>110</v>
      </c>
    </row>
    <row r="2" spans="1:19" x14ac:dyDescent="0.2">
      <c r="A2" s="44" t="s">
        <v>64</v>
      </c>
      <c r="B2" s="44" t="s">
        <v>7</v>
      </c>
      <c r="C2" s="44" t="s">
        <v>111</v>
      </c>
      <c r="D2" s="44" t="s">
        <v>5</v>
      </c>
      <c r="E2" s="44" t="s">
        <v>112</v>
      </c>
      <c r="F2" s="44">
        <v>2022</v>
      </c>
      <c r="G2" s="51">
        <v>72674</v>
      </c>
      <c r="H2" s="44" t="s">
        <v>113</v>
      </c>
      <c r="I2" s="20"/>
    </row>
    <row r="3" spans="1:19" x14ac:dyDescent="0.2">
      <c r="A3" s="44" t="s">
        <v>64</v>
      </c>
      <c r="B3" s="44" t="s">
        <v>7</v>
      </c>
      <c r="C3" s="44" t="s">
        <v>111</v>
      </c>
      <c r="D3" s="44" t="s">
        <v>6</v>
      </c>
      <c r="E3" s="44" t="s">
        <v>112</v>
      </c>
      <c r="F3" s="44">
        <v>2022</v>
      </c>
      <c r="G3" s="51">
        <v>28163</v>
      </c>
      <c r="H3" s="44" t="s">
        <v>113</v>
      </c>
      <c r="I3" s="20"/>
    </row>
    <row r="4" spans="1:19" x14ac:dyDescent="0.2">
      <c r="A4" s="44" t="s">
        <v>65</v>
      </c>
      <c r="B4" s="44" t="s">
        <v>13</v>
      </c>
      <c r="C4" s="44" t="s">
        <v>111</v>
      </c>
      <c r="D4" s="44" t="s">
        <v>5</v>
      </c>
      <c r="E4" s="44" t="s">
        <v>112</v>
      </c>
      <c r="F4" s="44">
        <v>2022</v>
      </c>
      <c r="G4" s="51">
        <v>109190</v>
      </c>
      <c r="H4" s="44" t="s">
        <v>121</v>
      </c>
      <c r="I4" s="19"/>
      <c r="K4" t="s">
        <v>239</v>
      </c>
    </row>
    <row r="5" spans="1:19" x14ac:dyDescent="0.2">
      <c r="A5" s="44" t="s">
        <v>65</v>
      </c>
      <c r="B5" s="44" t="s">
        <v>13</v>
      </c>
      <c r="C5" s="44" t="s">
        <v>111</v>
      </c>
      <c r="D5" s="44" t="s">
        <v>6</v>
      </c>
      <c r="E5" s="44" t="s">
        <v>112</v>
      </c>
      <c r="F5" s="44">
        <v>2022</v>
      </c>
      <c r="G5" s="51">
        <v>28195</v>
      </c>
      <c r="H5" s="44" t="s">
        <v>121</v>
      </c>
      <c r="I5" s="20"/>
      <c r="K5" t="s">
        <v>238</v>
      </c>
    </row>
    <row r="6" spans="1:19" x14ac:dyDescent="0.2">
      <c r="A6" s="44" t="s">
        <v>66</v>
      </c>
      <c r="B6" s="44" t="s">
        <v>13</v>
      </c>
      <c r="C6" s="44" t="s">
        <v>111</v>
      </c>
      <c r="D6" s="44" t="s">
        <v>5</v>
      </c>
      <c r="E6" s="44" t="s">
        <v>112</v>
      </c>
      <c r="F6" s="44">
        <v>2022</v>
      </c>
      <c r="G6" s="51">
        <v>45470</v>
      </c>
      <c r="H6" s="44" t="s">
        <v>121</v>
      </c>
      <c r="I6" s="19"/>
    </row>
    <row r="7" spans="1:19" x14ac:dyDescent="0.2">
      <c r="A7" s="44" t="s">
        <v>66</v>
      </c>
      <c r="B7" s="44" t="s">
        <v>13</v>
      </c>
      <c r="C7" s="44" t="s">
        <v>111</v>
      </c>
      <c r="D7" s="44" t="s">
        <v>6</v>
      </c>
      <c r="E7" s="44" t="s">
        <v>112</v>
      </c>
      <c r="F7" s="44">
        <v>2022</v>
      </c>
      <c r="G7" s="51">
        <v>21458</v>
      </c>
      <c r="H7" s="44" t="s">
        <v>121</v>
      </c>
      <c r="I7" s="20"/>
    </row>
    <row r="8" spans="1:19" x14ac:dyDescent="0.2">
      <c r="A8" s="44" t="s">
        <v>71</v>
      </c>
      <c r="B8" s="44" t="s">
        <v>17</v>
      </c>
      <c r="C8" s="44" t="s">
        <v>111</v>
      </c>
      <c r="D8" s="44" t="s">
        <v>5</v>
      </c>
      <c r="E8" s="44" t="s">
        <v>112</v>
      </c>
      <c r="F8" s="44">
        <v>2022</v>
      </c>
      <c r="G8" s="51">
        <v>95409</v>
      </c>
      <c r="H8" s="44" t="s">
        <v>113</v>
      </c>
      <c r="I8" s="20"/>
    </row>
    <row r="9" spans="1:19" x14ac:dyDescent="0.2">
      <c r="A9" s="44" t="s">
        <v>71</v>
      </c>
      <c r="B9" s="44" t="s">
        <v>17</v>
      </c>
      <c r="C9" s="44" t="s">
        <v>111</v>
      </c>
      <c r="D9" s="44" t="s">
        <v>6</v>
      </c>
      <c r="E9" s="44" t="s">
        <v>112</v>
      </c>
      <c r="F9" s="44">
        <v>2022</v>
      </c>
      <c r="G9" s="51">
        <v>28284</v>
      </c>
      <c r="H9" s="44" t="s">
        <v>113</v>
      </c>
      <c r="I9" s="20"/>
    </row>
    <row r="10" spans="1:19" x14ac:dyDescent="0.2">
      <c r="A10" s="44" t="s">
        <v>72</v>
      </c>
      <c r="B10" s="44" t="s">
        <v>13</v>
      </c>
      <c r="C10" s="44" t="s">
        <v>111</v>
      </c>
      <c r="D10" s="44" t="s">
        <v>5</v>
      </c>
      <c r="E10" s="44" t="s">
        <v>112</v>
      </c>
      <c r="F10" s="44">
        <v>2022</v>
      </c>
      <c r="G10" s="51">
        <v>714995</v>
      </c>
      <c r="H10" s="44" t="s">
        <v>121</v>
      </c>
      <c r="I10" s="20"/>
    </row>
    <row r="11" spans="1:19" x14ac:dyDescent="0.2">
      <c r="A11" s="44" t="s">
        <v>72</v>
      </c>
      <c r="B11" s="44" t="s">
        <v>13</v>
      </c>
      <c r="C11" s="44" t="s">
        <v>111</v>
      </c>
      <c r="D11" s="44" t="s">
        <v>6</v>
      </c>
      <c r="E11" s="44" t="s">
        <v>112</v>
      </c>
      <c r="F11" s="44">
        <v>2022</v>
      </c>
      <c r="G11" s="51">
        <v>243558</v>
      </c>
      <c r="H11" s="44" t="s">
        <v>121</v>
      </c>
      <c r="I11" s="20"/>
      <c r="K11" s="41" t="s">
        <v>180</v>
      </c>
      <c r="L11" s="41" t="s">
        <v>177</v>
      </c>
    </row>
    <row r="12" spans="1:19" x14ac:dyDescent="0.2">
      <c r="A12" s="44" t="s">
        <v>73</v>
      </c>
      <c r="B12" s="44" t="s">
        <v>13</v>
      </c>
      <c r="C12" s="44" t="s">
        <v>111</v>
      </c>
      <c r="D12" s="44" t="s">
        <v>5</v>
      </c>
      <c r="E12" s="44" t="s">
        <v>112</v>
      </c>
      <c r="F12" s="44">
        <v>2022</v>
      </c>
      <c r="G12" s="51">
        <v>57681</v>
      </c>
      <c r="H12" s="44" t="s">
        <v>121</v>
      </c>
      <c r="I12" s="20"/>
      <c r="K12" s="41" t="s">
        <v>178</v>
      </c>
      <c r="L12" t="s">
        <v>6</v>
      </c>
      <c r="M12" t="s">
        <v>5</v>
      </c>
      <c r="N12" t="s">
        <v>179</v>
      </c>
      <c r="P12" s="41" t="s">
        <v>180</v>
      </c>
      <c r="Q12" s="41" t="s">
        <v>177</v>
      </c>
    </row>
    <row r="13" spans="1:19" x14ac:dyDescent="0.2">
      <c r="A13" s="44" t="s">
        <v>73</v>
      </c>
      <c r="B13" s="44" t="s">
        <v>13</v>
      </c>
      <c r="C13" s="44" t="s">
        <v>111</v>
      </c>
      <c r="D13" s="44" t="s">
        <v>6</v>
      </c>
      <c r="E13" s="44" t="s">
        <v>112</v>
      </c>
      <c r="F13" s="44">
        <v>2022</v>
      </c>
      <c r="G13" s="51">
        <v>14608</v>
      </c>
      <c r="H13" s="44" t="s">
        <v>121</v>
      </c>
      <c r="I13" s="20"/>
      <c r="K13" s="42" t="s">
        <v>64</v>
      </c>
      <c r="L13" s="49">
        <v>28163</v>
      </c>
      <c r="M13" s="49">
        <v>72674</v>
      </c>
      <c r="N13" s="49">
        <v>100837</v>
      </c>
      <c r="P13" s="41" t="s">
        <v>178</v>
      </c>
      <c r="Q13" t="s">
        <v>6</v>
      </c>
      <c r="R13" t="s">
        <v>5</v>
      </c>
      <c r="S13" t="s">
        <v>179</v>
      </c>
    </row>
    <row r="14" spans="1:19" x14ac:dyDescent="0.2">
      <c r="A14" s="44" t="s">
        <v>74</v>
      </c>
      <c r="B14" s="44" t="s">
        <v>13</v>
      </c>
      <c r="C14" s="44" t="s">
        <v>111</v>
      </c>
      <c r="D14" s="44" t="s">
        <v>5</v>
      </c>
      <c r="E14" s="44" t="s">
        <v>112</v>
      </c>
      <c r="F14" s="44">
        <v>2022</v>
      </c>
      <c r="G14" s="51">
        <v>339395</v>
      </c>
      <c r="H14" s="44" t="s">
        <v>121</v>
      </c>
      <c r="I14" s="20"/>
      <c r="K14" s="42" t="s">
        <v>65</v>
      </c>
      <c r="L14" s="49">
        <v>28195</v>
      </c>
      <c r="M14" s="49">
        <v>109190</v>
      </c>
      <c r="N14" s="49">
        <v>137385</v>
      </c>
      <c r="P14" s="42" t="s">
        <v>64</v>
      </c>
      <c r="Q14" s="43">
        <v>0.27929232325436099</v>
      </c>
      <c r="R14" s="43">
        <v>0.72070767674563896</v>
      </c>
      <c r="S14" s="43">
        <v>1</v>
      </c>
    </row>
    <row r="15" spans="1:19" x14ac:dyDescent="0.2">
      <c r="A15" s="44" t="s">
        <v>74</v>
      </c>
      <c r="B15" s="44" t="s">
        <v>13</v>
      </c>
      <c r="C15" s="44" t="s">
        <v>111</v>
      </c>
      <c r="D15" s="44" t="s">
        <v>6</v>
      </c>
      <c r="E15" s="44" t="s">
        <v>112</v>
      </c>
      <c r="F15" s="44">
        <v>2022</v>
      </c>
      <c r="G15" s="51">
        <v>104652</v>
      </c>
      <c r="H15" s="44" t="s">
        <v>121</v>
      </c>
      <c r="I15" s="20"/>
      <c r="K15" s="42" t="s">
        <v>66</v>
      </c>
      <c r="L15" s="49">
        <v>21458</v>
      </c>
      <c r="M15" s="49">
        <v>45470</v>
      </c>
      <c r="N15" s="49">
        <v>66928</v>
      </c>
      <c r="P15" s="42" t="s">
        <v>65</v>
      </c>
      <c r="Q15" s="43">
        <v>0.20522618917640209</v>
      </c>
      <c r="R15" s="43">
        <v>0.79477381082359788</v>
      </c>
      <c r="S15" s="43">
        <v>1</v>
      </c>
    </row>
    <row r="16" spans="1:19" x14ac:dyDescent="0.2">
      <c r="A16" s="44" t="s">
        <v>75</v>
      </c>
      <c r="B16" s="44" t="s">
        <v>7</v>
      </c>
      <c r="C16" s="44" t="s">
        <v>111</v>
      </c>
      <c r="D16" s="44" t="s">
        <v>5</v>
      </c>
      <c r="E16" s="44" t="s">
        <v>112</v>
      </c>
      <c r="F16" s="44">
        <v>2022</v>
      </c>
      <c r="G16" s="51">
        <v>17709</v>
      </c>
      <c r="H16" s="44" t="s">
        <v>121</v>
      </c>
      <c r="I16" s="20"/>
      <c r="K16" s="42" t="s">
        <v>80</v>
      </c>
      <c r="L16" s="49">
        <v>6252</v>
      </c>
      <c r="M16" s="49">
        <v>23210</v>
      </c>
      <c r="N16" s="49">
        <v>29462</v>
      </c>
      <c r="P16" s="42" t="s">
        <v>66</v>
      </c>
      <c r="Q16" s="43">
        <v>0.32061319627061918</v>
      </c>
      <c r="R16" s="43">
        <v>0.67938680372938087</v>
      </c>
      <c r="S16" s="43">
        <v>1</v>
      </c>
    </row>
    <row r="17" spans="1:32" x14ac:dyDescent="0.2">
      <c r="A17" s="44" t="s">
        <v>75</v>
      </c>
      <c r="B17" s="44" t="s">
        <v>7</v>
      </c>
      <c r="C17" s="44" t="s">
        <v>111</v>
      </c>
      <c r="D17" s="44" t="s">
        <v>6</v>
      </c>
      <c r="E17" s="44" t="s">
        <v>112</v>
      </c>
      <c r="F17" s="44">
        <v>2022</v>
      </c>
      <c r="G17" s="51">
        <v>6425</v>
      </c>
      <c r="H17" s="44" t="s">
        <v>121</v>
      </c>
      <c r="I17" s="20"/>
      <c r="K17" s="42" t="s">
        <v>71</v>
      </c>
      <c r="L17" s="49">
        <v>28284</v>
      </c>
      <c r="M17" s="49">
        <v>95409</v>
      </c>
      <c r="N17" s="49">
        <v>123693</v>
      </c>
      <c r="P17" s="42" t="s">
        <v>80</v>
      </c>
      <c r="Q17" s="43">
        <v>0.21220555291562013</v>
      </c>
      <c r="R17" s="43">
        <v>0.78779444708437985</v>
      </c>
      <c r="S17" s="43">
        <v>1</v>
      </c>
      <c r="Y17" t="s">
        <v>225</v>
      </c>
      <c r="Z17" t="s">
        <v>226</v>
      </c>
      <c r="AC17" t="s">
        <v>233</v>
      </c>
      <c r="AD17" t="s">
        <v>226</v>
      </c>
      <c r="AE17" t="s">
        <v>235</v>
      </c>
      <c r="AF17" t="s">
        <v>226</v>
      </c>
    </row>
    <row r="18" spans="1:32" x14ac:dyDescent="0.2">
      <c r="A18" s="44" t="s">
        <v>76</v>
      </c>
      <c r="B18" s="44" t="s">
        <v>13</v>
      </c>
      <c r="C18" s="44" t="s">
        <v>111</v>
      </c>
      <c r="D18" s="44" t="s">
        <v>5</v>
      </c>
      <c r="E18" s="44" t="s">
        <v>112</v>
      </c>
      <c r="F18" s="44">
        <v>2022</v>
      </c>
      <c r="G18" s="51">
        <v>63593</v>
      </c>
      <c r="H18" s="44" t="s">
        <v>121</v>
      </c>
      <c r="I18" s="20"/>
      <c r="K18" s="42" t="s">
        <v>73</v>
      </c>
      <c r="L18" s="49">
        <v>14608</v>
      </c>
      <c r="M18" s="49">
        <v>57681</v>
      </c>
      <c r="N18" s="49">
        <v>72289</v>
      </c>
      <c r="P18" s="42" t="s">
        <v>71</v>
      </c>
      <c r="Q18" s="43">
        <v>0.2286628992748175</v>
      </c>
      <c r="R18" s="43">
        <v>0.77133710072518247</v>
      </c>
      <c r="S18" s="43">
        <v>1</v>
      </c>
      <c r="Y18" t="s">
        <v>228</v>
      </c>
      <c r="Z18" s="55">
        <v>0.77768883460760352</v>
      </c>
      <c r="AC18" t="s">
        <v>232</v>
      </c>
      <c r="AD18" s="55">
        <v>0.77768883460760352</v>
      </c>
      <c r="AE18" s="57" t="s">
        <v>231</v>
      </c>
      <c r="AF18" s="55">
        <v>0.75591817117944426</v>
      </c>
    </row>
    <row r="19" spans="1:32" x14ac:dyDescent="0.2">
      <c r="A19" s="44" t="s">
        <v>76</v>
      </c>
      <c r="B19" s="44" t="s">
        <v>13</v>
      </c>
      <c r="C19" s="44" t="s">
        <v>111</v>
      </c>
      <c r="D19" s="44" t="s">
        <v>6</v>
      </c>
      <c r="E19" s="44" t="s">
        <v>112</v>
      </c>
      <c r="F19" s="44">
        <v>2022</v>
      </c>
      <c r="G19" s="51">
        <v>21727</v>
      </c>
      <c r="H19" s="44" t="s">
        <v>121</v>
      </c>
      <c r="I19" s="20"/>
      <c r="K19" s="42" t="s">
        <v>75</v>
      </c>
      <c r="L19" s="49">
        <v>6425</v>
      </c>
      <c r="M19" s="49">
        <v>17709</v>
      </c>
      <c r="N19" s="49">
        <v>24134</v>
      </c>
      <c r="P19" s="42" t="s">
        <v>73</v>
      </c>
      <c r="Q19" s="43">
        <v>0.2020777711685042</v>
      </c>
      <c r="R19" s="43">
        <v>0.79792222883149577</v>
      </c>
      <c r="S19" s="43">
        <v>1</v>
      </c>
      <c r="Y19" t="s">
        <v>229</v>
      </c>
      <c r="Z19" s="55">
        <v>0.75591817117944426</v>
      </c>
      <c r="AC19" t="s">
        <v>234</v>
      </c>
      <c r="AD19" s="55">
        <v>0.22231116539239651</v>
      </c>
      <c r="AE19" s="57" t="s">
        <v>234</v>
      </c>
      <c r="AF19" s="55">
        <v>0.24408182882055601</v>
      </c>
    </row>
    <row r="20" spans="1:32" x14ac:dyDescent="0.2">
      <c r="A20" s="44" t="s">
        <v>77</v>
      </c>
      <c r="B20" s="44" t="s">
        <v>4</v>
      </c>
      <c r="C20" s="44" t="s">
        <v>111</v>
      </c>
      <c r="D20" s="44" t="s">
        <v>5</v>
      </c>
      <c r="E20" s="44" t="s">
        <v>112</v>
      </c>
      <c r="F20" s="44">
        <v>2022</v>
      </c>
      <c r="G20" s="51">
        <v>374514</v>
      </c>
      <c r="H20" s="44" t="s">
        <v>113</v>
      </c>
      <c r="I20" s="20"/>
      <c r="K20" s="42" t="s">
        <v>76</v>
      </c>
      <c r="L20" s="49">
        <v>21727</v>
      </c>
      <c r="M20" s="49">
        <v>63593</v>
      </c>
      <c r="N20" s="49">
        <v>85320</v>
      </c>
      <c r="P20" s="42" t="s">
        <v>75</v>
      </c>
      <c r="Q20" s="43">
        <v>0.26622192757106156</v>
      </c>
      <c r="R20" s="43">
        <v>0.73377807242893844</v>
      </c>
      <c r="S20" s="43">
        <v>1</v>
      </c>
      <c r="Y20" t="s">
        <v>227</v>
      </c>
      <c r="Z20" s="55">
        <v>0.22231116539239651</v>
      </c>
    </row>
    <row r="21" spans="1:32" x14ac:dyDescent="0.2">
      <c r="A21" s="44" t="s">
        <v>77</v>
      </c>
      <c r="B21" s="44" t="s">
        <v>4</v>
      </c>
      <c r="C21" s="44" t="s">
        <v>111</v>
      </c>
      <c r="D21" s="44" t="s">
        <v>6</v>
      </c>
      <c r="E21" s="44" t="s">
        <v>112</v>
      </c>
      <c r="F21" s="44">
        <v>2022</v>
      </c>
      <c r="G21" s="51">
        <v>124653</v>
      </c>
      <c r="H21" s="44" t="s">
        <v>113</v>
      </c>
      <c r="I21" s="20"/>
      <c r="K21" s="42" t="s">
        <v>77</v>
      </c>
      <c r="L21" s="49">
        <v>124653</v>
      </c>
      <c r="M21" s="49">
        <v>374514</v>
      </c>
      <c r="N21" s="49">
        <v>499167</v>
      </c>
      <c r="P21" s="42" t="s">
        <v>76</v>
      </c>
      <c r="Q21" s="43">
        <v>0.25465307079231131</v>
      </c>
      <c r="R21" s="43">
        <v>0.74534692920768875</v>
      </c>
      <c r="S21" s="43">
        <v>1</v>
      </c>
      <c r="Y21" t="s">
        <v>230</v>
      </c>
      <c r="Z21" s="55">
        <v>0.24408182882055601</v>
      </c>
    </row>
    <row r="22" spans="1:32" x14ac:dyDescent="0.2">
      <c r="A22" s="44" t="s">
        <v>79</v>
      </c>
      <c r="B22" s="44" t="s">
        <v>7</v>
      </c>
      <c r="C22" s="44" t="s">
        <v>111</v>
      </c>
      <c r="D22" s="44" t="s">
        <v>5</v>
      </c>
      <c r="E22" s="44" t="s">
        <v>112</v>
      </c>
      <c r="F22" s="44">
        <v>2022</v>
      </c>
      <c r="G22" s="51">
        <v>34630</v>
      </c>
      <c r="H22" s="44" t="s">
        <v>113</v>
      </c>
      <c r="I22" s="19"/>
      <c r="K22" s="42" t="s">
        <v>72</v>
      </c>
      <c r="L22" s="49">
        <v>243558</v>
      </c>
      <c r="M22" s="49">
        <v>714995</v>
      </c>
      <c r="N22" s="49">
        <v>958553</v>
      </c>
      <c r="P22" s="42" t="s">
        <v>77</v>
      </c>
      <c r="Q22" s="43">
        <v>0.2497220369134979</v>
      </c>
      <c r="R22" s="43">
        <v>0.75027796308650208</v>
      </c>
      <c r="S22" s="43">
        <v>1</v>
      </c>
    </row>
    <row r="23" spans="1:32" x14ac:dyDescent="0.2">
      <c r="A23" s="44" t="s">
        <v>79</v>
      </c>
      <c r="B23" s="44" t="s">
        <v>7</v>
      </c>
      <c r="C23" s="44" t="s">
        <v>111</v>
      </c>
      <c r="D23" s="44" t="s">
        <v>6</v>
      </c>
      <c r="E23" s="44" t="s">
        <v>112</v>
      </c>
      <c r="F23" s="44">
        <v>2022</v>
      </c>
      <c r="G23" s="51">
        <v>11534</v>
      </c>
      <c r="H23" s="44" t="s">
        <v>113</v>
      </c>
      <c r="I23" s="20"/>
      <c r="K23" s="42" t="s">
        <v>79</v>
      </c>
      <c r="L23" s="49">
        <v>11534</v>
      </c>
      <c r="M23" s="49">
        <v>34630</v>
      </c>
      <c r="N23" s="49">
        <v>46164</v>
      </c>
      <c r="P23" s="42" t="s">
        <v>72</v>
      </c>
      <c r="Q23" s="43">
        <v>0.25408923658890015</v>
      </c>
      <c r="R23" s="43">
        <v>0.74591076341109985</v>
      </c>
      <c r="S23" s="43">
        <v>1</v>
      </c>
    </row>
    <row r="24" spans="1:32" x14ac:dyDescent="0.2">
      <c r="A24" s="44" t="s">
        <v>80</v>
      </c>
      <c r="B24" s="44" t="s">
        <v>13</v>
      </c>
      <c r="C24" s="44" t="s">
        <v>111</v>
      </c>
      <c r="D24" s="44" t="s">
        <v>5</v>
      </c>
      <c r="E24" s="44" t="s">
        <v>112</v>
      </c>
      <c r="F24" s="44">
        <v>2022</v>
      </c>
      <c r="G24" s="51">
        <v>23210</v>
      </c>
      <c r="H24" s="44" t="s">
        <v>121</v>
      </c>
      <c r="I24" s="19"/>
      <c r="K24" s="42" t="s">
        <v>81</v>
      </c>
      <c r="L24" s="49">
        <v>20874</v>
      </c>
      <c r="M24" s="49">
        <v>78602</v>
      </c>
      <c r="N24" s="49">
        <v>99476</v>
      </c>
      <c r="P24" s="42" t="s">
        <v>79</v>
      </c>
      <c r="Q24" s="43">
        <v>0.24984836669266094</v>
      </c>
      <c r="R24" s="43">
        <v>0.75015163330733903</v>
      </c>
      <c r="S24" s="43">
        <v>1</v>
      </c>
    </row>
    <row r="25" spans="1:32" x14ac:dyDescent="0.2">
      <c r="A25" s="44" t="s">
        <v>80</v>
      </c>
      <c r="B25" s="44" t="s">
        <v>13</v>
      </c>
      <c r="C25" s="44" t="s">
        <v>111</v>
      </c>
      <c r="D25" s="44" t="s">
        <v>6</v>
      </c>
      <c r="E25" s="44" t="s">
        <v>112</v>
      </c>
      <c r="F25" s="44">
        <v>2022</v>
      </c>
      <c r="G25" s="51">
        <v>6252</v>
      </c>
      <c r="H25" s="44" t="s">
        <v>121</v>
      </c>
      <c r="I25" s="20"/>
      <c r="K25" s="42" t="s">
        <v>82</v>
      </c>
      <c r="L25" s="49">
        <v>34191</v>
      </c>
      <c r="M25" s="49">
        <v>85155</v>
      </c>
      <c r="N25" s="49">
        <v>119346</v>
      </c>
      <c r="P25" s="42" t="s">
        <v>81</v>
      </c>
      <c r="Q25" s="43">
        <v>0.20983955929068318</v>
      </c>
      <c r="R25" s="43">
        <v>0.79016044070931679</v>
      </c>
      <c r="S25" s="43">
        <v>1</v>
      </c>
    </row>
    <row r="26" spans="1:32" x14ac:dyDescent="0.2">
      <c r="A26" s="44" t="s">
        <v>81</v>
      </c>
      <c r="B26" s="44" t="s">
        <v>7</v>
      </c>
      <c r="C26" s="44" t="s">
        <v>111</v>
      </c>
      <c r="D26" s="44" t="s">
        <v>5</v>
      </c>
      <c r="E26" s="44" t="s">
        <v>112</v>
      </c>
      <c r="F26" s="44">
        <v>2022</v>
      </c>
      <c r="G26" s="51">
        <v>78602</v>
      </c>
      <c r="H26" s="44" t="s">
        <v>121</v>
      </c>
      <c r="I26" s="20"/>
      <c r="K26" s="42" t="s">
        <v>84</v>
      </c>
      <c r="L26" s="49">
        <v>93163</v>
      </c>
      <c r="M26" s="49">
        <v>301093</v>
      </c>
      <c r="N26" s="49">
        <v>394256</v>
      </c>
      <c r="P26" s="42" t="s">
        <v>82</v>
      </c>
      <c r="Q26" s="43">
        <v>0.286486350610829</v>
      </c>
      <c r="R26" s="43">
        <v>0.71351364938917095</v>
      </c>
      <c r="S26" s="43">
        <v>1</v>
      </c>
    </row>
    <row r="27" spans="1:32" x14ac:dyDescent="0.2">
      <c r="A27" s="44" t="s">
        <v>81</v>
      </c>
      <c r="B27" s="44" t="s">
        <v>7</v>
      </c>
      <c r="C27" s="44" t="s">
        <v>111</v>
      </c>
      <c r="D27" s="44" t="s">
        <v>6</v>
      </c>
      <c r="E27" s="44" t="s">
        <v>112</v>
      </c>
      <c r="F27" s="44">
        <v>2022</v>
      </c>
      <c r="G27" s="51">
        <v>20874</v>
      </c>
      <c r="H27" s="44" t="s">
        <v>121</v>
      </c>
      <c r="I27" s="20"/>
      <c r="K27" s="42" t="s">
        <v>88</v>
      </c>
      <c r="L27" s="49">
        <v>7486</v>
      </c>
      <c r="M27" s="49">
        <v>19488</v>
      </c>
      <c r="N27" s="49">
        <v>26974</v>
      </c>
      <c r="P27" s="42" t="s">
        <v>84</v>
      </c>
      <c r="Q27" s="43">
        <v>0.23630077918915629</v>
      </c>
      <c r="R27" s="43">
        <v>0.76369922081084374</v>
      </c>
      <c r="S27" s="43">
        <v>1</v>
      </c>
    </row>
    <row r="28" spans="1:32" x14ac:dyDescent="0.2">
      <c r="A28" s="44" t="s">
        <v>82</v>
      </c>
      <c r="B28" s="44" t="s">
        <v>13</v>
      </c>
      <c r="C28" s="44" t="s">
        <v>111</v>
      </c>
      <c r="D28" s="44" t="s">
        <v>5</v>
      </c>
      <c r="E28" s="44" t="s">
        <v>112</v>
      </c>
      <c r="F28" s="44">
        <v>2022</v>
      </c>
      <c r="G28" s="51">
        <v>85155</v>
      </c>
      <c r="H28" s="44" t="s">
        <v>121</v>
      </c>
      <c r="I28" s="20"/>
      <c r="K28" s="42" t="s">
        <v>86</v>
      </c>
      <c r="L28" s="49">
        <v>10766</v>
      </c>
      <c r="M28" s="49">
        <v>23662</v>
      </c>
      <c r="N28" s="49">
        <v>34428</v>
      </c>
      <c r="P28" s="42" t="s">
        <v>88</v>
      </c>
      <c r="Q28" s="43">
        <v>0.27752650700674725</v>
      </c>
      <c r="R28" s="43">
        <v>0.72247349299325281</v>
      </c>
      <c r="S28" s="43">
        <v>1</v>
      </c>
    </row>
    <row r="29" spans="1:32" x14ac:dyDescent="0.2">
      <c r="A29" s="44" t="s">
        <v>82</v>
      </c>
      <c r="B29" s="44" t="s">
        <v>13</v>
      </c>
      <c r="C29" s="44" t="s">
        <v>111</v>
      </c>
      <c r="D29" s="44" t="s">
        <v>6</v>
      </c>
      <c r="E29" s="44" t="s">
        <v>112</v>
      </c>
      <c r="F29" s="44">
        <v>2022</v>
      </c>
      <c r="G29" s="51">
        <v>34191</v>
      </c>
      <c r="H29" s="44" t="s">
        <v>121</v>
      </c>
      <c r="I29" s="20"/>
      <c r="K29" s="42" t="s">
        <v>87</v>
      </c>
      <c r="L29" s="49">
        <v>2230</v>
      </c>
      <c r="M29" s="49">
        <v>5912</v>
      </c>
      <c r="N29" s="49">
        <v>8142</v>
      </c>
      <c r="P29" s="42" t="s">
        <v>86</v>
      </c>
      <c r="Q29" s="43">
        <v>0.31271058440803995</v>
      </c>
      <c r="R29" s="43">
        <v>0.68728941559196</v>
      </c>
      <c r="S29" s="43">
        <v>1</v>
      </c>
    </row>
    <row r="30" spans="1:32" x14ac:dyDescent="0.2">
      <c r="A30" s="44" t="s">
        <v>84</v>
      </c>
      <c r="B30" s="44" t="s">
        <v>13</v>
      </c>
      <c r="C30" s="44" t="s">
        <v>111</v>
      </c>
      <c r="D30" s="44" t="s">
        <v>5</v>
      </c>
      <c r="E30" s="44" t="s">
        <v>112</v>
      </c>
      <c r="F30" s="44">
        <v>2022</v>
      </c>
      <c r="G30" s="51">
        <v>301093</v>
      </c>
      <c r="H30" s="44" t="s">
        <v>121</v>
      </c>
      <c r="I30" s="20"/>
      <c r="K30" s="42" t="s">
        <v>90</v>
      </c>
      <c r="L30" s="49">
        <v>1832</v>
      </c>
      <c r="M30" s="49">
        <v>5553</v>
      </c>
      <c r="N30" s="49">
        <v>7385</v>
      </c>
      <c r="P30" s="42" t="s">
        <v>87</v>
      </c>
      <c r="Q30" s="43">
        <v>0.27388847948906903</v>
      </c>
      <c r="R30" s="43">
        <v>0.72611152051093097</v>
      </c>
      <c r="S30" s="43">
        <v>1</v>
      </c>
    </row>
    <row r="31" spans="1:32" x14ac:dyDescent="0.2">
      <c r="A31" s="44" t="s">
        <v>84</v>
      </c>
      <c r="B31" s="44" t="s">
        <v>13</v>
      </c>
      <c r="C31" s="44" t="s">
        <v>111</v>
      </c>
      <c r="D31" s="44" t="s">
        <v>6</v>
      </c>
      <c r="E31" s="44" t="s">
        <v>112</v>
      </c>
      <c r="F31" s="44">
        <v>2022</v>
      </c>
      <c r="G31" s="51">
        <v>93163</v>
      </c>
      <c r="H31" s="44" t="s">
        <v>121</v>
      </c>
      <c r="I31" s="20"/>
      <c r="K31" s="42" t="s">
        <v>91</v>
      </c>
      <c r="L31" s="49">
        <v>62054</v>
      </c>
      <c r="M31" s="49">
        <v>230710</v>
      </c>
      <c r="N31" s="49">
        <v>292764</v>
      </c>
      <c r="P31" s="42" t="s">
        <v>90</v>
      </c>
      <c r="Q31" s="43">
        <v>0.24807041299932295</v>
      </c>
      <c r="R31" s="43">
        <v>0.75192958700067702</v>
      </c>
      <c r="S31" s="43">
        <v>1</v>
      </c>
    </row>
    <row r="32" spans="1:32" x14ac:dyDescent="0.2">
      <c r="A32" s="44" t="s">
        <v>86</v>
      </c>
      <c r="B32" s="44" t="s">
        <v>13</v>
      </c>
      <c r="C32" s="44" t="s">
        <v>111</v>
      </c>
      <c r="D32" s="44" t="s">
        <v>5</v>
      </c>
      <c r="E32" s="44" t="s">
        <v>112</v>
      </c>
      <c r="F32" s="44">
        <v>2022</v>
      </c>
      <c r="G32" s="51">
        <v>23662</v>
      </c>
      <c r="H32" s="44" t="s">
        <v>121</v>
      </c>
      <c r="I32" s="20"/>
      <c r="K32" s="42" t="s">
        <v>93</v>
      </c>
      <c r="L32" s="49">
        <v>75272</v>
      </c>
      <c r="M32" s="49">
        <v>268085</v>
      </c>
      <c r="N32" s="49">
        <v>343357</v>
      </c>
      <c r="P32" s="42" t="s">
        <v>91</v>
      </c>
      <c r="Q32" s="43">
        <v>0.21195912065691136</v>
      </c>
      <c r="R32" s="43">
        <v>0.78804087934308864</v>
      </c>
      <c r="S32" s="43">
        <v>1</v>
      </c>
    </row>
    <row r="33" spans="1:19" x14ac:dyDescent="0.2">
      <c r="A33" s="44" t="s">
        <v>86</v>
      </c>
      <c r="B33" s="44" t="s">
        <v>13</v>
      </c>
      <c r="C33" s="44" t="s">
        <v>111</v>
      </c>
      <c r="D33" s="44" t="s">
        <v>6</v>
      </c>
      <c r="E33" s="44" t="s">
        <v>112</v>
      </c>
      <c r="F33" s="44">
        <v>2022</v>
      </c>
      <c r="G33" s="51">
        <v>10766</v>
      </c>
      <c r="H33" s="44" t="s">
        <v>121</v>
      </c>
      <c r="I33" s="20"/>
      <c r="K33" s="42" t="s">
        <v>94</v>
      </c>
      <c r="L33" s="49">
        <v>32031</v>
      </c>
      <c r="M33" s="49">
        <v>74990</v>
      </c>
      <c r="N33" s="49">
        <v>107021</v>
      </c>
      <c r="P33" s="42" t="s">
        <v>93</v>
      </c>
      <c r="Q33" s="43">
        <v>0.21922372341324045</v>
      </c>
      <c r="R33" s="43">
        <v>0.78077627658675952</v>
      </c>
      <c r="S33" s="43">
        <v>1</v>
      </c>
    </row>
    <row r="34" spans="1:19" x14ac:dyDescent="0.2">
      <c r="A34" s="44" t="s">
        <v>87</v>
      </c>
      <c r="B34" s="44" t="s">
        <v>13</v>
      </c>
      <c r="C34" s="44" t="s">
        <v>111</v>
      </c>
      <c r="D34" s="44" t="s">
        <v>5</v>
      </c>
      <c r="E34" s="44" t="s">
        <v>112</v>
      </c>
      <c r="F34" s="44">
        <v>2022</v>
      </c>
      <c r="G34" s="51">
        <v>5912</v>
      </c>
      <c r="H34" s="44" t="s">
        <v>121</v>
      </c>
      <c r="I34" s="20"/>
      <c r="K34" s="42" t="s">
        <v>95</v>
      </c>
      <c r="L34" s="49">
        <v>20823</v>
      </c>
      <c r="M34" s="49">
        <v>51912</v>
      </c>
      <c r="N34" s="49">
        <v>72735</v>
      </c>
      <c r="P34" s="42" t="s">
        <v>94</v>
      </c>
      <c r="Q34" s="43">
        <v>0.29929639977200734</v>
      </c>
      <c r="R34" s="43">
        <v>0.70070360022799261</v>
      </c>
      <c r="S34" s="43">
        <v>1</v>
      </c>
    </row>
    <row r="35" spans="1:19" x14ac:dyDescent="0.2">
      <c r="A35" s="44" t="s">
        <v>87</v>
      </c>
      <c r="B35" s="44" t="s">
        <v>13</v>
      </c>
      <c r="C35" s="44" t="s">
        <v>111</v>
      </c>
      <c r="D35" s="44" t="s">
        <v>6</v>
      </c>
      <c r="E35" s="44" t="s">
        <v>112</v>
      </c>
      <c r="F35" s="44">
        <v>2022</v>
      </c>
      <c r="G35" s="51">
        <v>2230</v>
      </c>
      <c r="H35" s="44" t="s">
        <v>121</v>
      </c>
      <c r="I35" s="19"/>
      <c r="K35" s="42" t="s">
        <v>97</v>
      </c>
      <c r="L35" s="49">
        <v>20526</v>
      </c>
      <c r="M35" s="49">
        <v>49908</v>
      </c>
      <c r="N35" s="49">
        <v>70434</v>
      </c>
      <c r="P35" s="42" t="s">
        <v>95</v>
      </c>
      <c r="Q35" s="43">
        <v>0.28628583213033615</v>
      </c>
      <c r="R35" s="43">
        <v>0.7137141678696638</v>
      </c>
      <c r="S35" s="43">
        <v>1</v>
      </c>
    </row>
    <row r="36" spans="1:19" x14ac:dyDescent="0.2">
      <c r="A36" s="44" t="s">
        <v>88</v>
      </c>
      <c r="B36" s="44" t="s">
        <v>13</v>
      </c>
      <c r="C36" s="44" t="s">
        <v>111</v>
      </c>
      <c r="D36" s="44" t="s">
        <v>5</v>
      </c>
      <c r="E36" s="44" t="s">
        <v>112</v>
      </c>
      <c r="F36" s="44">
        <v>2022</v>
      </c>
      <c r="G36" s="51">
        <v>19488</v>
      </c>
      <c r="H36" s="44" t="s">
        <v>121</v>
      </c>
      <c r="I36" s="20"/>
      <c r="K36" s="42" t="s">
        <v>98</v>
      </c>
      <c r="L36" s="49">
        <v>4630</v>
      </c>
      <c r="M36" s="49">
        <v>16534</v>
      </c>
      <c r="N36" s="49">
        <v>21164</v>
      </c>
      <c r="P36" s="42" t="s">
        <v>97</v>
      </c>
      <c r="Q36" s="43">
        <v>0.29142175653803559</v>
      </c>
      <c r="R36" s="43">
        <v>0.70857824346196441</v>
      </c>
      <c r="S36" s="43">
        <v>1</v>
      </c>
    </row>
    <row r="37" spans="1:19" x14ac:dyDescent="0.2">
      <c r="A37" s="44" t="s">
        <v>88</v>
      </c>
      <c r="B37" s="44" t="s">
        <v>13</v>
      </c>
      <c r="C37" s="44" t="s">
        <v>111</v>
      </c>
      <c r="D37" s="44" t="s">
        <v>6</v>
      </c>
      <c r="E37" s="44" t="s">
        <v>112</v>
      </c>
      <c r="F37" s="44">
        <v>2022</v>
      </c>
      <c r="G37" s="51">
        <v>7486</v>
      </c>
      <c r="H37" s="44" t="s">
        <v>121</v>
      </c>
      <c r="I37" s="20"/>
      <c r="K37" s="42" t="s">
        <v>74</v>
      </c>
      <c r="L37" s="49">
        <v>104652</v>
      </c>
      <c r="M37" s="49">
        <v>339395</v>
      </c>
      <c r="N37" s="49">
        <v>444047</v>
      </c>
      <c r="P37" s="42" t="s">
        <v>98</v>
      </c>
      <c r="Q37" s="43">
        <v>0.21876771876771878</v>
      </c>
      <c r="R37" s="43">
        <v>0.78123228123228128</v>
      </c>
      <c r="S37" s="43">
        <v>1</v>
      </c>
    </row>
    <row r="38" spans="1:19" x14ac:dyDescent="0.2">
      <c r="A38" s="44" t="s">
        <v>90</v>
      </c>
      <c r="B38" s="44" t="s">
        <v>7</v>
      </c>
      <c r="C38" s="44" t="s">
        <v>111</v>
      </c>
      <c r="D38" s="44" t="s">
        <v>5</v>
      </c>
      <c r="E38" s="44" t="s">
        <v>112</v>
      </c>
      <c r="F38" s="44">
        <v>2022</v>
      </c>
      <c r="G38" s="51">
        <v>5553</v>
      </c>
      <c r="H38" s="44" t="s">
        <v>121</v>
      </c>
      <c r="I38" s="20"/>
      <c r="K38" s="42" t="s">
        <v>99</v>
      </c>
      <c r="L38" s="49">
        <v>44162</v>
      </c>
      <c r="M38" s="49">
        <v>152305</v>
      </c>
      <c r="N38" s="49">
        <v>196467</v>
      </c>
      <c r="P38" s="42" t="s">
        <v>74</v>
      </c>
      <c r="Q38" s="43">
        <v>0.23567775483225875</v>
      </c>
      <c r="R38" s="43">
        <v>0.76432224516774128</v>
      </c>
      <c r="S38" s="43">
        <v>1</v>
      </c>
    </row>
    <row r="39" spans="1:19" x14ac:dyDescent="0.2">
      <c r="A39" s="44" t="s">
        <v>90</v>
      </c>
      <c r="B39" s="44" t="s">
        <v>7</v>
      </c>
      <c r="C39" s="44" t="s">
        <v>111</v>
      </c>
      <c r="D39" s="44" t="s">
        <v>6</v>
      </c>
      <c r="E39" s="44" t="s">
        <v>112</v>
      </c>
      <c r="F39" s="44">
        <v>2022</v>
      </c>
      <c r="G39" s="51">
        <v>1832</v>
      </c>
      <c r="H39" s="44" t="s">
        <v>121</v>
      </c>
      <c r="I39" s="20"/>
      <c r="K39" s="42" t="s">
        <v>179</v>
      </c>
      <c r="L39" s="49">
        <v>1069549</v>
      </c>
      <c r="M39" s="49">
        <v>3312379</v>
      </c>
      <c r="N39" s="49">
        <v>4381928</v>
      </c>
      <c r="P39" s="42" t="s">
        <v>99</v>
      </c>
      <c r="Q39" s="43">
        <v>0.22478075198379371</v>
      </c>
      <c r="R39" s="43">
        <v>0.77521924801620623</v>
      </c>
      <c r="S39" s="43">
        <v>1</v>
      </c>
    </row>
    <row r="40" spans="1:19" x14ac:dyDescent="0.2">
      <c r="A40" s="44" t="s">
        <v>91</v>
      </c>
      <c r="B40" s="44" t="s">
        <v>13</v>
      </c>
      <c r="C40" s="44" t="s">
        <v>111</v>
      </c>
      <c r="D40" s="44" t="s">
        <v>5</v>
      </c>
      <c r="E40" s="44" t="s">
        <v>112</v>
      </c>
      <c r="F40" s="44">
        <v>2022</v>
      </c>
      <c r="G40" s="51">
        <v>230710</v>
      </c>
      <c r="H40" s="44" t="s">
        <v>121</v>
      </c>
      <c r="I40" s="19"/>
      <c r="P40" s="42" t="s">
        <v>179</v>
      </c>
      <c r="Q40" s="43">
        <v>0.24408182882055571</v>
      </c>
      <c r="R40" s="43">
        <v>0.75591817117944426</v>
      </c>
      <c r="S40" s="43">
        <v>1</v>
      </c>
    </row>
    <row r="41" spans="1:19" x14ac:dyDescent="0.2">
      <c r="A41" s="44" t="s">
        <v>91</v>
      </c>
      <c r="B41" s="44" t="s">
        <v>13</v>
      </c>
      <c r="C41" s="44" t="s">
        <v>111</v>
      </c>
      <c r="D41" s="44" t="s">
        <v>6</v>
      </c>
      <c r="E41" s="44" t="s">
        <v>112</v>
      </c>
      <c r="F41" s="44">
        <v>2022</v>
      </c>
      <c r="G41" s="51">
        <v>62054</v>
      </c>
      <c r="H41" s="44" t="s">
        <v>121</v>
      </c>
      <c r="I41" s="20"/>
    </row>
    <row r="42" spans="1:19" x14ac:dyDescent="0.2">
      <c r="A42" s="44" t="s">
        <v>93</v>
      </c>
      <c r="B42" s="44" t="s">
        <v>13</v>
      </c>
      <c r="C42" s="44" t="s">
        <v>111</v>
      </c>
      <c r="D42" s="44" t="s">
        <v>5</v>
      </c>
      <c r="E42" s="44" t="s">
        <v>112</v>
      </c>
      <c r="F42" s="44">
        <v>2022</v>
      </c>
      <c r="G42" s="51">
        <v>268085</v>
      </c>
      <c r="H42" s="44" t="s">
        <v>121</v>
      </c>
      <c r="I42" s="20"/>
    </row>
    <row r="43" spans="1:19" x14ac:dyDescent="0.2">
      <c r="A43" s="44" t="s">
        <v>93</v>
      </c>
      <c r="B43" s="44" t="s">
        <v>13</v>
      </c>
      <c r="C43" s="44" t="s">
        <v>111</v>
      </c>
      <c r="D43" s="44" t="s">
        <v>6</v>
      </c>
      <c r="E43" s="44" t="s">
        <v>112</v>
      </c>
      <c r="F43" s="44">
        <v>2022</v>
      </c>
      <c r="G43" s="51">
        <v>75272</v>
      </c>
      <c r="H43" s="44" t="s">
        <v>121</v>
      </c>
      <c r="I43" s="20"/>
    </row>
    <row r="44" spans="1:19" x14ac:dyDescent="0.2">
      <c r="A44" s="44" t="s">
        <v>94</v>
      </c>
      <c r="B44" s="44" t="s">
        <v>13</v>
      </c>
      <c r="C44" s="44" t="s">
        <v>111</v>
      </c>
      <c r="D44" s="44" t="s">
        <v>5</v>
      </c>
      <c r="E44" s="44" t="s">
        <v>112</v>
      </c>
      <c r="F44" s="44">
        <v>2022</v>
      </c>
      <c r="G44" s="51">
        <v>74990</v>
      </c>
      <c r="H44" s="44" t="s">
        <v>121</v>
      </c>
      <c r="I44" s="19"/>
    </row>
    <row r="45" spans="1:19" x14ac:dyDescent="0.2">
      <c r="A45" s="44" t="s">
        <v>94</v>
      </c>
      <c r="B45" s="44" t="s">
        <v>13</v>
      </c>
      <c r="C45" s="44" t="s">
        <v>111</v>
      </c>
      <c r="D45" s="44" t="s">
        <v>6</v>
      </c>
      <c r="E45" s="44" t="s">
        <v>112</v>
      </c>
      <c r="F45" s="44">
        <v>2022</v>
      </c>
      <c r="G45" s="51">
        <v>32031</v>
      </c>
      <c r="H45" s="44" t="s">
        <v>121</v>
      </c>
      <c r="I45" s="20"/>
    </row>
    <row r="46" spans="1:19" x14ac:dyDescent="0.2">
      <c r="A46" s="44" t="s">
        <v>95</v>
      </c>
      <c r="B46" s="44" t="s">
        <v>52</v>
      </c>
      <c r="C46" s="44" t="s">
        <v>111</v>
      </c>
      <c r="D46" s="44" t="s">
        <v>5</v>
      </c>
      <c r="E46" s="44" t="s">
        <v>112</v>
      </c>
      <c r="F46" s="44">
        <v>2022</v>
      </c>
      <c r="G46" s="51">
        <v>51912</v>
      </c>
      <c r="H46" s="44" t="s">
        <v>121</v>
      </c>
      <c r="I46" s="20"/>
    </row>
    <row r="47" spans="1:19" x14ac:dyDescent="0.2">
      <c r="A47" s="44" t="s">
        <v>95</v>
      </c>
      <c r="B47" s="44" t="s">
        <v>52</v>
      </c>
      <c r="C47" s="44" t="s">
        <v>111</v>
      </c>
      <c r="D47" s="44" t="s">
        <v>6</v>
      </c>
      <c r="E47" s="44" t="s">
        <v>112</v>
      </c>
      <c r="F47" s="44">
        <v>2022</v>
      </c>
      <c r="G47" s="51">
        <v>20823</v>
      </c>
      <c r="H47" s="44" t="s">
        <v>121</v>
      </c>
      <c r="I47" s="20"/>
    </row>
    <row r="48" spans="1:19" x14ac:dyDescent="0.2">
      <c r="A48" s="44" t="s">
        <v>97</v>
      </c>
      <c r="B48" s="44" t="s">
        <v>7</v>
      </c>
      <c r="C48" s="44" t="s">
        <v>111</v>
      </c>
      <c r="D48" s="44" t="s">
        <v>5</v>
      </c>
      <c r="E48" s="44" t="s">
        <v>112</v>
      </c>
      <c r="F48" s="44">
        <v>2022</v>
      </c>
      <c r="G48" s="51">
        <v>49908</v>
      </c>
      <c r="H48" s="44" t="s">
        <v>113</v>
      </c>
      <c r="I48" s="20"/>
    </row>
    <row r="49" spans="1:9" x14ac:dyDescent="0.2">
      <c r="A49" s="44" t="s">
        <v>97</v>
      </c>
      <c r="B49" s="44" t="s">
        <v>7</v>
      </c>
      <c r="C49" s="44" t="s">
        <v>111</v>
      </c>
      <c r="D49" s="44" t="s">
        <v>6</v>
      </c>
      <c r="E49" s="44" t="s">
        <v>112</v>
      </c>
      <c r="F49" s="44">
        <v>2022</v>
      </c>
      <c r="G49" s="51">
        <v>20526</v>
      </c>
      <c r="H49" s="44" t="s">
        <v>113</v>
      </c>
      <c r="I49" s="20"/>
    </row>
    <row r="50" spans="1:9" x14ac:dyDescent="0.2">
      <c r="A50" s="44" t="s">
        <v>98</v>
      </c>
      <c r="B50" s="44" t="s">
        <v>7</v>
      </c>
      <c r="C50" s="44" t="s">
        <v>111</v>
      </c>
      <c r="D50" s="44" t="s">
        <v>5</v>
      </c>
      <c r="E50" s="44" t="s">
        <v>112</v>
      </c>
      <c r="F50" s="44">
        <v>2022</v>
      </c>
      <c r="G50" s="51">
        <v>16534</v>
      </c>
      <c r="H50" s="44" t="s">
        <v>121</v>
      </c>
      <c r="I50" s="20"/>
    </row>
    <row r="51" spans="1:9" x14ac:dyDescent="0.2">
      <c r="A51" s="44" t="s">
        <v>98</v>
      </c>
      <c r="B51" s="44" t="s">
        <v>7</v>
      </c>
      <c r="C51" s="44" t="s">
        <v>111</v>
      </c>
      <c r="D51" s="44" t="s">
        <v>6</v>
      </c>
      <c r="E51" s="44" t="s">
        <v>112</v>
      </c>
      <c r="F51" s="44">
        <v>2022</v>
      </c>
      <c r="G51" s="51">
        <v>4630</v>
      </c>
      <c r="H51" s="44" t="s">
        <v>121</v>
      </c>
      <c r="I51" s="19"/>
    </row>
    <row r="52" spans="1:9" x14ac:dyDescent="0.2">
      <c r="A52" s="44" t="s">
        <v>99</v>
      </c>
      <c r="B52" s="44" t="s">
        <v>13</v>
      </c>
      <c r="C52" s="44" t="s">
        <v>111</v>
      </c>
      <c r="D52" s="44" t="s">
        <v>5</v>
      </c>
      <c r="E52" s="44" t="s">
        <v>112</v>
      </c>
      <c r="F52" s="44">
        <v>2022</v>
      </c>
      <c r="G52" s="51">
        <v>152305</v>
      </c>
      <c r="H52" s="44" t="s">
        <v>121</v>
      </c>
      <c r="I52" s="20"/>
    </row>
    <row r="53" spans="1:9" x14ac:dyDescent="0.2">
      <c r="A53" s="44" t="s">
        <v>99</v>
      </c>
      <c r="B53" s="44" t="s">
        <v>13</v>
      </c>
      <c r="C53" s="44" t="s">
        <v>111</v>
      </c>
      <c r="D53" s="44" t="s">
        <v>6</v>
      </c>
      <c r="E53" s="44" t="s">
        <v>112</v>
      </c>
      <c r="F53" s="44">
        <v>2022</v>
      </c>
      <c r="G53" s="51">
        <v>44162</v>
      </c>
      <c r="H53" s="44" t="s">
        <v>121</v>
      </c>
      <c r="I53" s="20"/>
    </row>
    <row r="54" spans="1:9" x14ac:dyDescent="0.2">
      <c r="A54" t="s">
        <v>63</v>
      </c>
      <c r="B54" t="s">
        <v>7</v>
      </c>
      <c r="C54" t="s">
        <v>111</v>
      </c>
      <c r="D54" t="s">
        <v>5</v>
      </c>
      <c r="E54" t="s">
        <v>112</v>
      </c>
      <c r="F54">
        <v>2021</v>
      </c>
      <c r="G54" s="19" t="s">
        <v>8</v>
      </c>
      <c r="H54" t="s">
        <v>113</v>
      </c>
    </row>
    <row r="55" spans="1:9" x14ac:dyDescent="0.2">
      <c r="A55" t="s">
        <v>63</v>
      </c>
      <c r="B55" t="s">
        <v>7</v>
      </c>
      <c r="C55" t="s">
        <v>111</v>
      </c>
      <c r="D55" t="s">
        <v>6</v>
      </c>
      <c r="E55" t="s">
        <v>112</v>
      </c>
      <c r="F55">
        <v>2021</v>
      </c>
      <c r="G55" s="19" t="s">
        <v>114</v>
      </c>
      <c r="H55" t="s">
        <v>113</v>
      </c>
    </row>
    <row r="56" spans="1:9" x14ac:dyDescent="0.2">
      <c r="A56" t="s">
        <v>64</v>
      </c>
      <c r="B56" t="s">
        <v>7</v>
      </c>
      <c r="C56" t="s">
        <v>111</v>
      </c>
      <c r="D56" t="s">
        <v>5</v>
      </c>
      <c r="E56" t="s">
        <v>112</v>
      </c>
      <c r="F56">
        <v>2021</v>
      </c>
      <c r="G56" s="20">
        <v>58589</v>
      </c>
      <c r="H56" t="s">
        <v>113</v>
      </c>
    </row>
    <row r="57" spans="1:9" x14ac:dyDescent="0.2">
      <c r="A57" t="s">
        <v>64</v>
      </c>
      <c r="B57" t="s">
        <v>7</v>
      </c>
      <c r="C57" t="s">
        <v>111</v>
      </c>
      <c r="D57" t="s">
        <v>6</v>
      </c>
      <c r="E57" t="s">
        <v>112</v>
      </c>
      <c r="F57">
        <v>2021</v>
      </c>
      <c r="G57" s="20">
        <v>20582</v>
      </c>
      <c r="H57" t="s">
        <v>113</v>
      </c>
      <c r="I57" s="48"/>
    </row>
    <row r="58" spans="1:9" x14ac:dyDescent="0.2">
      <c r="A58" t="s">
        <v>65</v>
      </c>
      <c r="B58" t="s">
        <v>13</v>
      </c>
      <c r="C58" t="s">
        <v>111</v>
      </c>
      <c r="D58" t="s">
        <v>5</v>
      </c>
      <c r="E58" t="s">
        <v>112</v>
      </c>
      <c r="F58">
        <v>2021</v>
      </c>
      <c r="G58" s="20">
        <v>103629</v>
      </c>
      <c r="H58" t="s">
        <v>121</v>
      </c>
      <c r="I58" s="48"/>
    </row>
    <row r="59" spans="1:9" x14ac:dyDescent="0.2">
      <c r="A59" t="s">
        <v>65</v>
      </c>
      <c r="B59" t="s">
        <v>13</v>
      </c>
      <c r="C59" t="s">
        <v>111</v>
      </c>
      <c r="D59" t="s">
        <v>6</v>
      </c>
      <c r="E59" t="s">
        <v>112</v>
      </c>
      <c r="F59">
        <v>2021</v>
      </c>
      <c r="G59" s="20">
        <v>27817</v>
      </c>
      <c r="H59" t="s">
        <v>121</v>
      </c>
      <c r="I59" s="48"/>
    </row>
    <row r="60" spans="1:9" x14ac:dyDescent="0.2">
      <c r="A60" t="s">
        <v>66</v>
      </c>
      <c r="B60" t="s">
        <v>13</v>
      </c>
      <c r="C60" t="s">
        <v>111</v>
      </c>
      <c r="D60" t="s">
        <v>5</v>
      </c>
      <c r="E60" t="s">
        <v>112</v>
      </c>
      <c r="F60">
        <v>2021</v>
      </c>
      <c r="G60" s="20">
        <v>40916</v>
      </c>
      <c r="H60" t="s">
        <v>121</v>
      </c>
      <c r="I60" s="48"/>
    </row>
    <row r="61" spans="1:9" x14ac:dyDescent="0.2">
      <c r="A61" t="s">
        <v>66</v>
      </c>
      <c r="B61" t="s">
        <v>13</v>
      </c>
      <c r="C61" t="s">
        <v>111</v>
      </c>
      <c r="D61" t="s">
        <v>6</v>
      </c>
      <c r="E61" t="s">
        <v>112</v>
      </c>
      <c r="F61">
        <v>2021</v>
      </c>
      <c r="G61" s="20">
        <v>19114</v>
      </c>
      <c r="H61" t="s">
        <v>121</v>
      </c>
      <c r="I61" s="48"/>
    </row>
    <row r="62" spans="1:9" x14ac:dyDescent="0.2">
      <c r="A62" t="s">
        <v>67</v>
      </c>
      <c r="B62" t="s">
        <v>7</v>
      </c>
      <c r="C62" t="s">
        <v>111</v>
      </c>
      <c r="D62" t="s">
        <v>5</v>
      </c>
      <c r="E62" t="s">
        <v>112</v>
      </c>
      <c r="F62">
        <v>2021</v>
      </c>
      <c r="G62" s="19" t="s">
        <v>16</v>
      </c>
      <c r="H62" t="s">
        <v>113</v>
      </c>
      <c r="I62" s="48"/>
    </row>
    <row r="63" spans="1:9" x14ac:dyDescent="0.2">
      <c r="A63" t="s">
        <v>67</v>
      </c>
      <c r="B63" t="s">
        <v>7</v>
      </c>
      <c r="C63" t="s">
        <v>111</v>
      </c>
      <c r="D63" t="s">
        <v>6</v>
      </c>
      <c r="E63" t="s">
        <v>112</v>
      </c>
      <c r="F63">
        <v>2021</v>
      </c>
      <c r="G63" s="19" t="s">
        <v>122</v>
      </c>
      <c r="H63" t="s">
        <v>113</v>
      </c>
      <c r="I63" s="48"/>
    </row>
    <row r="64" spans="1:9" x14ac:dyDescent="0.2">
      <c r="A64" t="s">
        <v>68</v>
      </c>
      <c r="B64" t="s">
        <v>7</v>
      </c>
      <c r="C64" t="s">
        <v>111</v>
      </c>
      <c r="D64" t="s">
        <v>5</v>
      </c>
      <c r="E64" t="s">
        <v>112</v>
      </c>
      <c r="F64">
        <v>2021</v>
      </c>
      <c r="G64" s="20">
        <v>42973</v>
      </c>
      <c r="H64" t="s">
        <v>126</v>
      </c>
      <c r="I64" s="48"/>
    </row>
    <row r="65" spans="1:9" x14ac:dyDescent="0.2">
      <c r="A65" t="s">
        <v>68</v>
      </c>
      <c r="B65" t="s">
        <v>7</v>
      </c>
      <c r="C65" t="s">
        <v>111</v>
      </c>
      <c r="D65" t="s">
        <v>6</v>
      </c>
      <c r="E65" t="s">
        <v>112</v>
      </c>
      <c r="F65">
        <v>2021</v>
      </c>
      <c r="G65" s="20">
        <v>19616</v>
      </c>
      <c r="H65" t="s">
        <v>126</v>
      </c>
      <c r="I65" s="48"/>
    </row>
    <row r="66" spans="1:9" x14ac:dyDescent="0.2">
      <c r="A66" t="s">
        <v>69</v>
      </c>
      <c r="B66" t="s">
        <v>7</v>
      </c>
      <c r="C66" t="s">
        <v>111</v>
      </c>
      <c r="D66" t="s">
        <v>5</v>
      </c>
      <c r="E66" t="s">
        <v>112</v>
      </c>
      <c r="F66">
        <v>2021</v>
      </c>
      <c r="G66" s="20">
        <v>74633</v>
      </c>
      <c r="H66" t="s">
        <v>113</v>
      </c>
      <c r="I66" s="48"/>
    </row>
    <row r="67" spans="1:9" x14ac:dyDescent="0.2">
      <c r="A67" t="s">
        <v>69</v>
      </c>
      <c r="B67" t="s">
        <v>7</v>
      </c>
      <c r="C67" t="s">
        <v>111</v>
      </c>
      <c r="D67" t="s">
        <v>6</v>
      </c>
      <c r="E67" t="s">
        <v>112</v>
      </c>
      <c r="F67">
        <v>2021</v>
      </c>
      <c r="G67" s="20">
        <v>19942</v>
      </c>
      <c r="H67" t="s">
        <v>113</v>
      </c>
      <c r="I67" s="48"/>
    </row>
    <row r="68" spans="1:9" x14ac:dyDescent="0.2">
      <c r="A68" t="s">
        <v>71</v>
      </c>
      <c r="B68" t="s">
        <v>17</v>
      </c>
      <c r="C68" t="s">
        <v>111</v>
      </c>
      <c r="D68" t="s">
        <v>5</v>
      </c>
      <c r="E68" t="s">
        <v>112</v>
      </c>
      <c r="F68">
        <v>2021</v>
      </c>
      <c r="G68" s="20">
        <v>109178</v>
      </c>
      <c r="H68" t="s">
        <v>113</v>
      </c>
      <c r="I68" s="48"/>
    </row>
    <row r="69" spans="1:9" x14ac:dyDescent="0.2">
      <c r="A69" t="s">
        <v>71</v>
      </c>
      <c r="B69" t="s">
        <v>17</v>
      </c>
      <c r="C69" t="s">
        <v>111</v>
      </c>
      <c r="D69" t="s">
        <v>6</v>
      </c>
      <c r="E69" t="s">
        <v>112</v>
      </c>
      <c r="F69">
        <v>2021</v>
      </c>
      <c r="G69" s="20">
        <v>17556</v>
      </c>
      <c r="H69" t="s">
        <v>113</v>
      </c>
      <c r="I69" s="48"/>
    </row>
    <row r="70" spans="1:9" x14ac:dyDescent="0.2">
      <c r="A70" t="s">
        <v>72</v>
      </c>
      <c r="B70" t="s">
        <v>13</v>
      </c>
      <c r="C70" t="s">
        <v>111</v>
      </c>
      <c r="D70" t="s">
        <v>5</v>
      </c>
      <c r="E70" t="s">
        <v>112</v>
      </c>
      <c r="F70">
        <v>2021</v>
      </c>
      <c r="G70" s="20">
        <v>674637</v>
      </c>
      <c r="H70" t="s">
        <v>121</v>
      </c>
      <c r="I70" s="48"/>
    </row>
    <row r="71" spans="1:9" x14ac:dyDescent="0.2">
      <c r="A71" t="s">
        <v>72</v>
      </c>
      <c r="B71" t="s">
        <v>13</v>
      </c>
      <c r="C71" t="s">
        <v>111</v>
      </c>
      <c r="D71" t="s">
        <v>6</v>
      </c>
      <c r="E71" t="s">
        <v>112</v>
      </c>
      <c r="F71">
        <v>2021</v>
      </c>
      <c r="G71" s="20">
        <v>233823</v>
      </c>
      <c r="H71" t="s">
        <v>121</v>
      </c>
      <c r="I71" s="48"/>
    </row>
    <row r="72" spans="1:9" x14ac:dyDescent="0.2">
      <c r="A72" t="s">
        <v>73</v>
      </c>
      <c r="B72" t="s">
        <v>13</v>
      </c>
      <c r="C72" t="s">
        <v>111</v>
      </c>
      <c r="D72" t="s">
        <v>5</v>
      </c>
      <c r="E72" t="s">
        <v>112</v>
      </c>
      <c r="F72">
        <v>2021</v>
      </c>
      <c r="G72" s="20">
        <v>49914</v>
      </c>
      <c r="H72" t="s">
        <v>121</v>
      </c>
      <c r="I72" s="48"/>
    </row>
    <row r="73" spans="1:9" x14ac:dyDescent="0.2">
      <c r="A73" t="s">
        <v>73</v>
      </c>
      <c r="B73" t="s">
        <v>13</v>
      </c>
      <c r="C73" t="s">
        <v>111</v>
      </c>
      <c r="D73" t="s">
        <v>6</v>
      </c>
      <c r="E73" t="s">
        <v>112</v>
      </c>
      <c r="F73">
        <v>2021</v>
      </c>
      <c r="G73" s="20">
        <v>15318</v>
      </c>
      <c r="H73" t="s">
        <v>121</v>
      </c>
      <c r="I73" s="48"/>
    </row>
    <row r="74" spans="1:9" x14ac:dyDescent="0.2">
      <c r="A74" t="s">
        <v>74</v>
      </c>
      <c r="B74" t="s">
        <v>13</v>
      </c>
      <c r="C74" t="s">
        <v>111</v>
      </c>
      <c r="D74" t="s">
        <v>5</v>
      </c>
      <c r="E74" t="s">
        <v>112</v>
      </c>
      <c r="F74">
        <v>2021</v>
      </c>
      <c r="G74" s="19" t="s">
        <v>21</v>
      </c>
      <c r="H74" t="s">
        <v>121</v>
      </c>
      <c r="I74" s="48"/>
    </row>
    <row r="75" spans="1:9" x14ac:dyDescent="0.2">
      <c r="A75" t="s">
        <v>74</v>
      </c>
      <c r="B75" t="s">
        <v>13</v>
      </c>
      <c r="C75" t="s">
        <v>111</v>
      </c>
      <c r="D75" t="s">
        <v>6</v>
      </c>
      <c r="E75" t="s">
        <v>112</v>
      </c>
      <c r="F75">
        <v>2021</v>
      </c>
      <c r="G75" s="19" t="s">
        <v>22</v>
      </c>
      <c r="H75" t="s">
        <v>121</v>
      </c>
      <c r="I75" s="48"/>
    </row>
    <row r="76" spans="1:9" x14ac:dyDescent="0.2">
      <c r="A76" t="s">
        <v>75</v>
      </c>
      <c r="B76" t="s">
        <v>7</v>
      </c>
      <c r="C76" t="s">
        <v>111</v>
      </c>
      <c r="D76" t="s">
        <v>5</v>
      </c>
      <c r="E76" t="s">
        <v>112</v>
      </c>
      <c r="F76">
        <v>2021</v>
      </c>
      <c r="G76" s="20">
        <v>14227</v>
      </c>
      <c r="H76" t="s">
        <v>121</v>
      </c>
      <c r="I76" s="48"/>
    </row>
    <row r="77" spans="1:9" x14ac:dyDescent="0.2">
      <c r="A77" t="s">
        <v>75</v>
      </c>
      <c r="B77" t="s">
        <v>7</v>
      </c>
      <c r="C77" t="s">
        <v>111</v>
      </c>
      <c r="D77" t="s">
        <v>6</v>
      </c>
      <c r="E77" t="s">
        <v>112</v>
      </c>
      <c r="F77">
        <v>2021</v>
      </c>
      <c r="G77" s="20">
        <v>5562</v>
      </c>
      <c r="H77" t="s">
        <v>121</v>
      </c>
      <c r="I77" s="48"/>
    </row>
    <row r="78" spans="1:9" x14ac:dyDescent="0.2">
      <c r="A78" t="s">
        <v>76</v>
      </c>
      <c r="B78" t="s">
        <v>13</v>
      </c>
      <c r="C78" t="s">
        <v>111</v>
      </c>
      <c r="D78" t="s">
        <v>5</v>
      </c>
      <c r="E78" t="s">
        <v>112</v>
      </c>
      <c r="F78">
        <v>2021</v>
      </c>
      <c r="G78" s="20">
        <v>58837</v>
      </c>
      <c r="H78" t="s">
        <v>121</v>
      </c>
      <c r="I78" s="48"/>
    </row>
    <row r="79" spans="1:9" x14ac:dyDescent="0.2">
      <c r="A79" t="s">
        <v>76</v>
      </c>
      <c r="B79" t="s">
        <v>13</v>
      </c>
      <c r="C79" t="s">
        <v>111</v>
      </c>
      <c r="D79" t="s">
        <v>6</v>
      </c>
      <c r="E79" t="s">
        <v>112</v>
      </c>
      <c r="F79">
        <v>2021</v>
      </c>
      <c r="G79" s="20">
        <v>21708</v>
      </c>
      <c r="H79" t="s">
        <v>121</v>
      </c>
      <c r="I79" s="48"/>
    </row>
    <row r="80" spans="1:9" x14ac:dyDescent="0.2">
      <c r="A80" t="s">
        <v>77</v>
      </c>
      <c r="B80" t="s">
        <v>4</v>
      </c>
      <c r="C80" t="s">
        <v>111</v>
      </c>
      <c r="D80" t="s">
        <v>5</v>
      </c>
      <c r="E80" t="s">
        <v>112</v>
      </c>
      <c r="F80">
        <v>2021</v>
      </c>
      <c r="G80" s="20">
        <v>382316</v>
      </c>
      <c r="H80" t="s">
        <v>113</v>
      </c>
      <c r="I80" s="48"/>
    </row>
    <row r="81" spans="1:9" x14ac:dyDescent="0.2">
      <c r="A81" t="s">
        <v>77</v>
      </c>
      <c r="B81" t="s">
        <v>4</v>
      </c>
      <c r="C81" t="s">
        <v>111</v>
      </c>
      <c r="D81" t="s">
        <v>6</v>
      </c>
      <c r="E81" t="s">
        <v>112</v>
      </c>
      <c r="F81">
        <v>2021</v>
      </c>
      <c r="G81" s="20">
        <v>129363</v>
      </c>
      <c r="H81" t="s">
        <v>113</v>
      </c>
      <c r="I81" s="48"/>
    </row>
    <row r="82" spans="1:9" x14ac:dyDescent="0.2">
      <c r="A82" t="s">
        <v>78</v>
      </c>
      <c r="B82" t="s">
        <v>7</v>
      </c>
      <c r="C82" t="s">
        <v>111</v>
      </c>
      <c r="D82" t="s">
        <v>5</v>
      </c>
      <c r="E82" t="s">
        <v>112</v>
      </c>
      <c r="F82">
        <v>2021</v>
      </c>
      <c r="G82" s="20">
        <v>691673</v>
      </c>
      <c r="H82" t="s">
        <v>113</v>
      </c>
      <c r="I82" s="48"/>
    </row>
    <row r="83" spans="1:9" x14ac:dyDescent="0.2">
      <c r="A83" t="s">
        <v>78</v>
      </c>
      <c r="B83" t="s">
        <v>7</v>
      </c>
      <c r="C83" t="s">
        <v>111</v>
      </c>
      <c r="D83" t="s">
        <v>6</v>
      </c>
      <c r="E83" t="s">
        <v>112</v>
      </c>
      <c r="F83">
        <v>2021</v>
      </c>
      <c r="G83" s="20">
        <v>230731</v>
      </c>
      <c r="H83" t="s">
        <v>113</v>
      </c>
      <c r="I83" s="48"/>
    </row>
    <row r="84" spans="1:9" x14ac:dyDescent="0.2">
      <c r="A84" t="s">
        <v>79</v>
      </c>
      <c r="B84" t="s">
        <v>7</v>
      </c>
      <c r="C84" t="s">
        <v>111</v>
      </c>
      <c r="D84" t="s">
        <v>5</v>
      </c>
      <c r="E84" t="s">
        <v>112</v>
      </c>
      <c r="F84">
        <v>2021</v>
      </c>
      <c r="G84" s="20">
        <v>29614</v>
      </c>
      <c r="H84" t="s">
        <v>113</v>
      </c>
      <c r="I84" s="48"/>
    </row>
    <row r="85" spans="1:9" x14ac:dyDescent="0.2">
      <c r="A85" t="s">
        <v>79</v>
      </c>
      <c r="B85" t="s">
        <v>7</v>
      </c>
      <c r="C85" t="s">
        <v>111</v>
      </c>
      <c r="D85" t="s">
        <v>6</v>
      </c>
      <c r="E85" t="s">
        <v>112</v>
      </c>
      <c r="F85">
        <v>2021</v>
      </c>
      <c r="G85" s="20">
        <v>9368</v>
      </c>
      <c r="H85" t="s">
        <v>113</v>
      </c>
      <c r="I85" s="48"/>
    </row>
    <row r="86" spans="1:9" x14ac:dyDescent="0.2">
      <c r="A86" t="s">
        <v>80</v>
      </c>
      <c r="B86" t="s">
        <v>13</v>
      </c>
      <c r="C86" t="s">
        <v>111</v>
      </c>
      <c r="D86" t="s">
        <v>5</v>
      </c>
      <c r="E86" t="s">
        <v>112</v>
      </c>
      <c r="F86">
        <v>2021</v>
      </c>
      <c r="G86" s="19" t="s">
        <v>34</v>
      </c>
      <c r="H86" t="s">
        <v>121</v>
      </c>
      <c r="I86" s="48"/>
    </row>
    <row r="87" spans="1:9" x14ac:dyDescent="0.2">
      <c r="A87" t="s">
        <v>80</v>
      </c>
      <c r="B87" t="s">
        <v>13</v>
      </c>
      <c r="C87" t="s">
        <v>111</v>
      </c>
      <c r="D87" t="s">
        <v>6</v>
      </c>
      <c r="E87" t="s">
        <v>112</v>
      </c>
      <c r="F87">
        <v>2021</v>
      </c>
      <c r="G87" s="20">
        <v>6875</v>
      </c>
      <c r="H87" t="s">
        <v>121</v>
      </c>
      <c r="I87" s="48"/>
    </row>
    <row r="88" spans="1:9" x14ac:dyDescent="0.2">
      <c r="A88" t="s">
        <v>81</v>
      </c>
      <c r="B88" t="s">
        <v>7</v>
      </c>
      <c r="C88" t="s">
        <v>111</v>
      </c>
      <c r="D88" t="s">
        <v>5</v>
      </c>
      <c r="E88" t="s">
        <v>112</v>
      </c>
      <c r="F88">
        <v>2021</v>
      </c>
      <c r="G88" s="20">
        <v>78073</v>
      </c>
      <c r="H88" t="s">
        <v>121</v>
      </c>
      <c r="I88" s="48"/>
    </row>
    <row r="89" spans="1:9" x14ac:dyDescent="0.2">
      <c r="A89" t="s">
        <v>81</v>
      </c>
      <c r="B89" t="s">
        <v>7</v>
      </c>
      <c r="C89" t="s">
        <v>111</v>
      </c>
      <c r="D89" t="s">
        <v>6</v>
      </c>
      <c r="E89" t="s">
        <v>112</v>
      </c>
      <c r="F89">
        <v>2021</v>
      </c>
      <c r="G89" s="20">
        <v>21675</v>
      </c>
      <c r="H89" t="s">
        <v>121</v>
      </c>
      <c r="I89" s="48"/>
    </row>
    <row r="90" spans="1:9" x14ac:dyDescent="0.2">
      <c r="A90" t="s">
        <v>82</v>
      </c>
      <c r="B90" t="s">
        <v>13</v>
      </c>
      <c r="C90" t="s">
        <v>111</v>
      </c>
      <c r="D90" t="s">
        <v>5</v>
      </c>
      <c r="E90" t="s">
        <v>112</v>
      </c>
      <c r="F90">
        <v>2021</v>
      </c>
      <c r="G90" s="20">
        <v>74824</v>
      </c>
      <c r="H90" t="s">
        <v>121</v>
      </c>
      <c r="I90" s="48"/>
    </row>
    <row r="91" spans="1:9" x14ac:dyDescent="0.2">
      <c r="A91" t="s">
        <v>82</v>
      </c>
      <c r="B91" t="s">
        <v>13</v>
      </c>
      <c r="C91" t="s">
        <v>111</v>
      </c>
      <c r="D91" t="s">
        <v>6</v>
      </c>
      <c r="E91" t="s">
        <v>112</v>
      </c>
      <c r="F91">
        <v>2021</v>
      </c>
      <c r="G91" s="20">
        <v>28152</v>
      </c>
      <c r="H91" t="s">
        <v>121</v>
      </c>
      <c r="I91" s="48"/>
    </row>
    <row r="92" spans="1:9" x14ac:dyDescent="0.2">
      <c r="A92" t="s">
        <v>83</v>
      </c>
      <c r="B92" t="s">
        <v>13</v>
      </c>
      <c r="C92" t="s">
        <v>111</v>
      </c>
      <c r="D92" t="s">
        <v>5</v>
      </c>
      <c r="E92" t="s">
        <v>112</v>
      </c>
      <c r="F92">
        <v>2021</v>
      </c>
      <c r="G92" s="20">
        <v>3255</v>
      </c>
      <c r="H92" t="s">
        <v>121</v>
      </c>
      <c r="I92" s="48"/>
    </row>
    <row r="93" spans="1:9" x14ac:dyDescent="0.2">
      <c r="A93" t="s">
        <v>83</v>
      </c>
      <c r="B93" t="s">
        <v>13</v>
      </c>
      <c r="C93" t="s">
        <v>111</v>
      </c>
      <c r="D93" t="s">
        <v>6</v>
      </c>
      <c r="E93" t="s">
        <v>112</v>
      </c>
      <c r="F93">
        <v>2021</v>
      </c>
      <c r="G93" s="20">
        <v>1581</v>
      </c>
      <c r="H93" t="s">
        <v>121</v>
      </c>
      <c r="I93" s="48"/>
    </row>
    <row r="94" spans="1:9" x14ac:dyDescent="0.2">
      <c r="A94" t="s">
        <v>84</v>
      </c>
      <c r="B94" t="s">
        <v>13</v>
      </c>
      <c r="C94" t="s">
        <v>111</v>
      </c>
      <c r="D94" t="s">
        <v>5</v>
      </c>
      <c r="E94" t="s">
        <v>112</v>
      </c>
      <c r="F94">
        <v>2021</v>
      </c>
      <c r="G94" s="20">
        <v>264711</v>
      </c>
      <c r="H94" t="s">
        <v>121</v>
      </c>
      <c r="I94" s="48"/>
    </row>
    <row r="95" spans="1:9" x14ac:dyDescent="0.2">
      <c r="A95" t="s">
        <v>84</v>
      </c>
      <c r="B95" t="s">
        <v>13</v>
      </c>
      <c r="C95" t="s">
        <v>111</v>
      </c>
      <c r="D95" t="s">
        <v>6</v>
      </c>
      <c r="E95" t="s">
        <v>112</v>
      </c>
      <c r="F95">
        <v>2021</v>
      </c>
      <c r="G95" s="20">
        <v>84146</v>
      </c>
      <c r="H95" t="s">
        <v>121</v>
      </c>
      <c r="I95" s="48"/>
    </row>
    <row r="96" spans="1:9" x14ac:dyDescent="0.2">
      <c r="A96" t="s">
        <v>85</v>
      </c>
      <c r="B96" t="s">
        <v>7</v>
      </c>
      <c r="C96" t="s">
        <v>111</v>
      </c>
      <c r="D96" t="s">
        <v>5</v>
      </c>
      <c r="E96" t="s">
        <v>112</v>
      </c>
      <c r="F96">
        <v>2021</v>
      </c>
      <c r="G96" s="20">
        <v>1311</v>
      </c>
      <c r="H96" t="s">
        <v>113</v>
      </c>
      <c r="I96" s="48"/>
    </row>
    <row r="97" spans="1:9" x14ac:dyDescent="0.2">
      <c r="A97" t="s">
        <v>85</v>
      </c>
      <c r="B97" t="s">
        <v>7</v>
      </c>
      <c r="C97" t="s">
        <v>111</v>
      </c>
      <c r="D97" t="s">
        <v>6</v>
      </c>
      <c r="E97" t="s">
        <v>112</v>
      </c>
      <c r="F97">
        <v>2021</v>
      </c>
      <c r="G97" s="19" t="s">
        <v>129</v>
      </c>
      <c r="H97" t="s">
        <v>113</v>
      </c>
      <c r="I97" s="48"/>
    </row>
    <row r="98" spans="1:9" x14ac:dyDescent="0.2">
      <c r="A98" t="s">
        <v>86</v>
      </c>
      <c r="B98" t="s">
        <v>13</v>
      </c>
      <c r="C98" t="s">
        <v>111</v>
      </c>
      <c r="D98" t="s">
        <v>5</v>
      </c>
      <c r="E98" t="s">
        <v>112</v>
      </c>
      <c r="F98">
        <v>2021</v>
      </c>
      <c r="G98" s="20">
        <v>20354</v>
      </c>
      <c r="H98" t="s">
        <v>121</v>
      </c>
      <c r="I98" s="48"/>
    </row>
    <row r="99" spans="1:9" x14ac:dyDescent="0.2">
      <c r="A99" t="s">
        <v>86</v>
      </c>
      <c r="B99" t="s">
        <v>13</v>
      </c>
      <c r="C99" t="s">
        <v>111</v>
      </c>
      <c r="D99" t="s">
        <v>6</v>
      </c>
      <c r="E99" t="s">
        <v>112</v>
      </c>
      <c r="F99">
        <v>2021</v>
      </c>
      <c r="G99" s="20">
        <v>8731</v>
      </c>
      <c r="H99" t="s">
        <v>121</v>
      </c>
      <c r="I99" s="48"/>
    </row>
    <row r="100" spans="1:9" x14ac:dyDescent="0.2">
      <c r="A100" t="s">
        <v>87</v>
      </c>
      <c r="B100" t="s">
        <v>13</v>
      </c>
      <c r="C100" t="s">
        <v>111</v>
      </c>
      <c r="D100" t="s">
        <v>5</v>
      </c>
      <c r="E100" t="s">
        <v>112</v>
      </c>
      <c r="F100">
        <v>2021</v>
      </c>
      <c r="G100" s="20">
        <v>5142</v>
      </c>
      <c r="H100" t="s">
        <v>121</v>
      </c>
      <c r="I100" s="48"/>
    </row>
    <row r="101" spans="1:9" x14ac:dyDescent="0.2">
      <c r="A101" t="s">
        <v>87</v>
      </c>
      <c r="B101" t="s">
        <v>13</v>
      </c>
      <c r="C101" t="s">
        <v>111</v>
      </c>
      <c r="D101" t="s">
        <v>6</v>
      </c>
      <c r="E101" t="s">
        <v>112</v>
      </c>
      <c r="F101">
        <v>2021</v>
      </c>
      <c r="G101" s="20">
        <v>1443</v>
      </c>
      <c r="H101" t="s">
        <v>121</v>
      </c>
      <c r="I101" s="48"/>
    </row>
    <row r="102" spans="1:9" x14ac:dyDescent="0.2">
      <c r="A102" t="s">
        <v>88</v>
      </c>
      <c r="B102" t="s">
        <v>13</v>
      </c>
      <c r="C102" t="s">
        <v>111</v>
      </c>
      <c r="D102" t="s">
        <v>5</v>
      </c>
      <c r="E102" t="s">
        <v>112</v>
      </c>
      <c r="F102">
        <v>2021</v>
      </c>
      <c r="G102" s="20">
        <v>15204</v>
      </c>
      <c r="H102" t="s">
        <v>121</v>
      </c>
      <c r="I102" s="48"/>
    </row>
    <row r="103" spans="1:9" x14ac:dyDescent="0.2">
      <c r="A103" t="s">
        <v>88</v>
      </c>
      <c r="B103" t="s">
        <v>13</v>
      </c>
      <c r="C103" t="s">
        <v>111</v>
      </c>
      <c r="D103" t="s">
        <v>6</v>
      </c>
      <c r="E103" t="s">
        <v>112</v>
      </c>
      <c r="F103">
        <v>2021</v>
      </c>
      <c r="G103" s="20">
        <v>4824</v>
      </c>
      <c r="H103" t="s">
        <v>121</v>
      </c>
      <c r="I103" s="48"/>
    </row>
    <row r="104" spans="1:9" x14ac:dyDescent="0.2">
      <c r="A104" t="s">
        <v>89</v>
      </c>
      <c r="B104" t="s">
        <v>7</v>
      </c>
      <c r="C104" t="s">
        <v>111</v>
      </c>
      <c r="D104" t="s">
        <v>5</v>
      </c>
      <c r="E104" t="s">
        <v>112</v>
      </c>
      <c r="F104">
        <v>2021</v>
      </c>
      <c r="G104" s="20">
        <v>6739</v>
      </c>
      <c r="H104" t="s">
        <v>113</v>
      </c>
      <c r="I104" s="48"/>
    </row>
    <row r="105" spans="1:9" x14ac:dyDescent="0.2">
      <c r="A105" t="s">
        <v>89</v>
      </c>
      <c r="B105" t="s">
        <v>7</v>
      </c>
      <c r="C105" t="s">
        <v>111</v>
      </c>
      <c r="D105" t="s">
        <v>6</v>
      </c>
      <c r="E105" t="s">
        <v>112</v>
      </c>
      <c r="F105">
        <v>2021</v>
      </c>
      <c r="G105" s="20">
        <v>3377</v>
      </c>
      <c r="H105" t="s">
        <v>113</v>
      </c>
      <c r="I105" s="48"/>
    </row>
    <row r="106" spans="1:9" x14ac:dyDescent="0.2">
      <c r="A106" t="s">
        <v>90</v>
      </c>
      <c r="B106" t="s">
        <v>7</v>
      </c>
      <c r="C106" t="s">
        <v>111</v>
      </c>
      <c r="D106" t="s">
        <v>5</v>
      </c>
      <c r="E106" t="s">
        <v>112</v>
      </c>
      <c r="F106">
        <v>2021</v>
      </c>
      <c r="G106" s="20">
        <v>5126</v>
      </c>
      <c r="H106" t="s">
        <v>121</v>
      </c>
      <c r="I106" s="48"/>
    </row>
    <row r="107" spans="1:9" x14ac:dyDescent="0.2">
      <c r="A107" t="s">
        <v>90</v>
      </c>
      <c r="B107" t="s">
        <v>7</v>
      </c>
      <c r="C107" t="s">
        <v>111</v>
      </c>
      <c r="D107" t="s">
        <v>6</v>
      </c>
      <c r="E107" t="s">
        <v>112</v>
      </c>
      <c r="F107">
        <v>2021</v>
      </c>
      <c r="G107" s="20">
        <v>1076</v>
      </c>
      <c r="H107" t="s">
        <v>121</v>
      </c>
      <c r="I107" s="48"/>
    </row>
    <row r="108" spans="1:9" x14ac:dyDescent="0.2">
      <c r="A108" t="s">
        <v>91</v>
      </c>
      <c r="B108" t="s">
        <v>13</v>
      </c>
      <c r="C108" t="s">
        <v>111</v>
      </c>
      <c r="D108" t="s">
        <v>5</v>
      </c>
      <c r="E108" t="s">
        <v>112</v>
      </c>
      <c r="F108">
        <v>2021</v>
      </c>
      <c r="G108" s="20">
        <v>209318</v>
      </c>
      <c r="H108" t="s">
        <v>121</v>
      </c>
      <c r="I108" s="48"/>
    </row>
    <row r="109" spans="1:9" x14ac:dyDescent="0.2">
      <c r="A109" t="s">
        <v>91</v>
      </c>
      <c r="B109" t="s">
        <v>13</v>
      </c>
      <c r="C109" t="s">
        <v>111</v>
      </c>
      <c r="D109" t="s">
        <v>6</v>
      </c>
      <c r="E109" t="s">
        <v>112</v>
      </c>
      <c r="F109">
        <v>2021</v>
      </c>
      <c r="G109" s="20">
        <v>51123</v>
      </c>
      <c r="H109" t="s">
        <v>121</v>
      </c>
    </row>
    <row r="110" spans="1:9" x14ac:dyDescent="0.2">
      <c r="A110" t="s">
        <v>92</v>
      </c>
      <c r="B110" t="s">
        <v>13</v>
      </c>
      <c r="C110" t="s">
        <v>111</v>
      </c>
      <c r="D110" t="s">
        <v>5</v>
      </c>
      <c r="E110" t="s">
        <v>112</v>
      </c>
      <c r="F110">
        <v>2021</v>
      </c>
      <c r="G110" s="20">
        <v>50168</v>
      </c>
      <c r="H110" t="s">
        <v>121</v>
      </c>
    </row>
    <row r="111" spans="1:9" x14ac:dyDescent="0.2">
      <c r="A111" t="s">
        <v>92</v>
      </c>
      <c r="B111" t="s">
        <v>13</v>
      </c>
      <c r="C111" t="s">
        <v>111</v>
      </c>
      <c r="D111" t="s">
        <v>6</v>
      </c>
      <c r="E111" t="s">
        <v>112</v>
      </c>
      <c r="F111">
        <v>2021</v>
      </c>
      <c r="G111" s="20">
        <v>15548</v>
      </c>
      <c r="H111" t="s">
        <v>121</v>
      </c>
    </row>
    <row r="112" spans="1:9" x14ac:dyDescent="0.2">
      <c r="A112" t="s">
        <v>93</v>
      </c>
      <c r="B112" t="s">
        <v>13</v>
      </c>
      <c r="C112" t="s">
        <v>111</v>
      </c>
      <c r="D112" t="s">
        <v>5</v>
      </c>
      <c r="E112" t="s">
        <v>112</v>
      </c>
      <c r="F112">
        <v>2021</v>
      </c>
      <c r="G112" s="19" t="s">
        <v>49</v>
      </c>
      <c r="H112" t="s">
        <v>121</v>
      </c>
    </row>
    <row r="113" spans="1:8" x14ac:dyDescent="0.2">
      <c r="A113" t="s">
        <v>93</v>
      </c>
      <c r="B113" t="s">
        <v>13</v>
      </c>
      <c r="C113" t="s">
        <v>111</v>
      </c>
      <c r="D113" t="s">
        <v>6</v>
      </c>
      <c r="E113" t="s">
        <v>112</v>
      </c>
      <c r="F113">
        <v>2021</v>
      </c>
      <c r="G113" s="20">
        <v>71671</v>
      </c>
      <c r="H113" t="s">
        <v>121</v>
      </c>
    </row>
    <row r="114" spans="1:8" x14ac:dyDescent="0.2">
      <c r="A114" t="s">
        <v>94</v>
      </c>
      <c r="B114" t="s">
        <v>13</v>
      </c>
      <c r="C114" t="s">
        <v>111</v>
      </c>
      <c r="D114" t="s">
        <v>5</v>
      </c>
      <c r="E114" t="s">
        <v>112</v>
      </c>
      <c r="F114">
        <v>2021</v>
      </c>
      <c r="G114" s="20">
        <v>71538</v>
      </c>
      <c r="H114" t="s">
        <v>121</v>
      </c>
    </row>
    <row r="115" spans="1:8" x14ac:dyDescent="0.2">
      <c r="A115" t="s">
        <v>94</v>
      </c>
      <c r="B115" t="s">
        <v>13</v>
      </c>
      <c r="C115" t="s">
        <v>111</v>
      </c>
      <c r="D115" t="s">
        <v>6</v>
      </c>
      <c r="E115" t="s">
        <v>112</v>
      </c>
      <c r="F115">
        <v>2021</v>
      </c>
      <c r="G115" s="20">
        <v>27849</v>
      </c>
      <c r="H115" t="s">
        <v>121</v>
      </c>
    </row>
    <row r="116" spans="1:8" x14ac:dyDescent="0.2">
      <c r="A116" t="s">
        <v>95</v>
      </c>
      <c r="B116" t="s">
        <v>52</v>
      </c>
      <c r="C116" t="s">
        <v>111</v>
      </c>
      <c r="D116" t="s">
        <v>5</v>
      </c>
      <c r="E116" t="s">
        <v>112</v>
      </c>
      <c r="F116">
        <v>2021</v>
      </c>
      <c r="G116" s="20">
        <v>64937</v>
      </c>
      <c r="H116" t="s">
        <v>121</v>
      </c>
    </row>
    <row r="117" spans="1:8" x14ac:dyDescent="0.2">
      <c r="A117" t="s">
        <v>95</v>
      </c>
      <c r="B117" t="s">
        <v>52</v>
      </c>
      <c r="C117" t="s">
        <v>111</v>
      </c>
      <c r="D117" t="s">
        <v>6</v>
      </c>
      <c r="E117" t="s">
        <v>112</v>
      </c>
      <c r="F117">
        <v>2021</v>
      </c>
      <c r="G117" s="20">
        <v>36988</v>
      </c>
      <c r="H117" t="s">
        <v>121</v>
      </c>
    </row>
    <row r="118" spans="1:8" x14ac:dyDescent="0.2">
      <c r="A118" t="s">
        <v>97</v>
      </c>
      <c r="B118" t="s">
        <v>7</v>
      </c>
      <c r="C118" t="s">
        <v>111</v>
      </c>
      <c r="D118" t="s">
        <v>5</v>
      </c>
      <c r="E118" t="s">
        <v>112</v>
      </c>
      <c r="F118">
        <v>2021</v>
      </c>
      <c r="G118" s="19" t="s">
        <v>54</v>
      </c>
      <c r="H118" t="s">
        <v>113</v>
      </c>
    </row>
    <row r="119" spans="1:8" x14ac:dyDescent="0.2">
      <c r="A119" t="s">
        <v>97</v>
      </c>
      <c r="B119" t="s">
        <v>7</v>
      </c>
      <c r="C119" t="s">
        <v>111</v>
      </c>
      <c r="D119" t="s">
        <v>6</v>
      </c>
      <c r="E119" t="s">
        <v>112</v>
      </c>
      <c r="F119">
        <v>2021</v>
      </c>
      <c r="G119" s="19" t="s">
        <v>55</v>
      </c>
      <c r="H119" t="s">
        <v>113</v>
      </c>
    </row>
    <row r="120" spans="1:8" x14ac:dyDescent="0.2">
      <c r="A120" t="s">
        <v>98</v>
      </c>
      <c r="B120" t="s">
        <v>7</v>
      </c>
      <c r="C120" t="s">
        <v>111</v>
      </c>
      <c r="D120" t="s">
        <v>5</v>
      </c>
      <c r="E120" t="s">
        <v>112</v>
      </c>
      <c r="F120">
        <v>2021</v>
      </c>
      <c r="G120" s="20">
        <v>17395</v>
      </c>
      <c r="H120" t="s">
        <v>121</v>
      </c>
    </row>
    <row r="121" spans="1:8" x14ac:dyDescent="0.2">
      <c r="A121" t="s">
        <v>98</v>
      </c>
      <c r="B121" t="s">
        <v>7</v>
      </c>
      <c r="C121" t="s">
        <v>111</v>
      </c>
      <c r="D121" t="s">
        <v>6</v>
      </c>
      <c r="E121" t="s">
        <v>112</v>
      </c>
      <c r="F121">
        <v>2021</v>
      </c>
      <c r="G121" s="20">
        <v>3973</v>
      </c>
      <c r="H121" t="s">
        <v>121</v>
      </c>
    </row>
    <row r="122" spans="1:8" x14ac:dyDescent="0.2">
      <c r="A122" t="s">
        <v>99</v>
      </c>
      <c r="B122" t="s">
        <v>13</v>
      </c>
      <c r="C122" t="s">
        <v>111</v>
      </c>
      <c r="D122" t="s">
        <v>5</v>
      </c>
      <c r="E122" t="s">
        <v>112</v>
      </c>
      <c r="F122">
        <v>2021</v>
      </c>
      <c r="G122" s="20">
        <v>139223</v>
      </c>
      <c r="H122" t="s">
        <v>121</v>
      </c>
    </row>
    <row r="123" spans="1:8" x14ac:dyDescent="0.2">
      <c r="A123" t="s">
        <v>99</v>
      </c>
      <c r="B123" t="s">
        <v>13</v>
      </c>
      <c r="C123" t="s">
        <v>111</v>
      </c>
      <c r="D123" t="s">
        <v>6</v>
      </c>
      <c r="E123" t="s">
        <v>112</v>
      </c>
      <c r="F123">
        <v>2021</v>
      </c>
      <c r="G123" s="20">
        <v>44865</v>
      </c>
      <c r="H123" t="s">
        <v>121</v>
      </c>
    </row>
    <row r="124" spans="1:8" x14ac:dyDescent="0.2">
      <c r="A124" t="s">
        <v>100</v>
      </c>
      <c r="B124" t="s">
        <v>7</v>
      </c>
      <c r="C124" t="s">
        <v>111</v>
      </c>
      <c r="D124" t="s">
        <v>5</v>
      </c>
      <c r="E124" t="s">
        <v>112</v>
      </c>
      <c r="F124">
        <v>2021</v>
      </c>
      <c r="G124" s="20">
        <v>140405</v>
      </c>
      <c r="H124" t="s">
        <v>113</v>
      </c>
    </row>
    <row r="125" spans="1:8" x14ac:dyDescent="0.2">
      <c r="A125" t="s">
        <v>100</v>
      </c>
      <c r="B125" t="s">
        <v>7</v>
      </c>
      <c r="C125" t="s">
        <v>111</v>
      </c>
      <c r="D125" t="s">
        <v>6</v>
      </c>
      <c r="E125" t="s">
        <v>112</v>
      </c>
      <c r="F125">
        <v>2021</v>
      </c>
      <c r="G125" s="20">
        <v>46722</v>
      </c>
      <c r="H125" t="s">
        <v>113</v>
      </c>
    </row>
    <row r="126" spans="1:8" x14ac:dyDescent="0.2">
      <c r="A126" t="s">
        <v>63</v>
      </c>
      <c r="B126" t="s">
        <v>7</v>
      </c>
      <c r="C126" t="s">
        <v>111</v>
      </c>
      <c r="D126" t="s">
        <v>5</v>
      </c>
      <c r="E126" t="s">
        <v>112</v>
      </c>
      <c r="F126">
        <v>2020</v>
      </c>
      <c r="G126" s="20">
        <v>1906</v>
      </c>
      <c r="H126" t="s">
        <v>113</v>
      </c>
    </row>
    <row r="127" spans="1:8" x14ac:dyDescent="0.2">
      <c r="A127" t="s">
        <v>63</v>
      </c>
      <c r="B127" t="s">
        <v>7</v>
      </c>
      <c r="C127" t="s">
        <v>111</v>
      </c>
      <c r="D127" t="s">
        <v>6</v>
      </c>
      <c r="E127" t="s">
        <v>112</v>
      </c>
      <c r="F127">
        <v>2020</v>
      </c>
      <c r="G127" s="19" t="s">
        <v>9</v>
      </c>
      <c r="H127" t="s">
        <v>113</v>
      </c>
    </row>
    <row r="128" spans="1:8" x14ac:dyDescent="0.2">
      <c r="A128" t="s">
        <v>64</v>
      </c>
      <c r="B128" t="s">
        <v>7</v>
      </c>
      <c r="C128" t="s">
        <v>111</v>
      </c>
      <c r="D128" t="s">
        <v>5</v>
      </c>
      <c r="E128" t="s">
        <v>112</v>
      </c>
      <c r="F128">
        <v>2020</v>
      </c>
      <c r="G128" s="20">
        <v>51527</v>
      </c>
      <c r="H128" t="s">
        <v>113</v>
      </c>
    </row>
    <row r="129" spans="1:8" x14ac:dyDescent="0.2">
      <c r="A129" t="s">
        <v>64</v>
      </c>
      <c r="B129" t="s">
        <v>7</v>
      </c>
      <c r="C129" t="s">
        <v>111</v>
      </c>
      <c r="D129" t="s">
        <v>6</v>
      </c>
      <c r="E129" t="s">
        <v>112</v>
      </c>
      <c r="F129">
        <v>2020</v>
      </c>
      <c r="G129" s="20">
        <v>19543</v>
      </c>
      <c r="H129" t="s">
        <v>113</v>
      </c>
    </row>
    <row r="130" spans="1:8" x14ac:dyDescent="0.2">
      <c r="A130" t="s">
        <v>65</v>
      </c>
      <c r="B130" t="s">
        <v>13</v>
      </c>
      <c r="C130" t="s">
        <v>111</v>
      </c>
      <c r="D130" t="s">
        <v>5</v>
      </c>
      <c r="E130" t="s">
        <v>112</v>
      </c>
      <c r="F130">
        <v>2020</v>
      </c>
      <c r="G130" s="20">
        <v>85182</v>
      </c>
      <c r="H130" t="s">
        <v>121</v>
      </c>
    </row>
    <row r="131" spans="1:8" x14ac:dyDescent="0.2">
      <c r="A131" t="s">
        <v>65</v>
      </c>
      <c r="B131" t="s">
        <v>13</v>
      </c>
      <c r="C131" t="s">
        <v>111</v>
      </c>
      <c r="D131" t="s">
        <v>6</v>
      </c>
      <c r="E131" t="s">
        <v>112</v>
      </c>
      <c r="F131">
        <v>2020</v>
      </c>
      <c r="G131" s="20">
        <v>20544</v>
      </c>
      <c r="H131" t="s">
        <v>121</v>
      </c>
    </row>
    <row r="132" spans="1:8" x14ac:dyDescent="0.2">
      <c r="A132" t="s">
        <v>66</v>
      </c>
      <c r="B132" t="s">
        <v>13</v>
      </c>
      <c r="C132" t="s">
        <v>111</v>
      </c>
      <c r="D132" t="s">
        <v>5</v>
      </c>
      <c r="E132" t="s">
        <v>112</v>
      </c>
      <c r="F132">
        <v>2020</v>
      </c>
      <c r="G132" s="20">
        <v>34921</v>
      </c>
      <c r="H132" t="s">
        <v>121</v>
      </c>
    </row>
    <row r="133" spans="1:8" x14ac:dyDescent="0.2">
      <c r="A133" t="s">
        <v>66</v>
      </c>
      <c r="B133" t="s">
        <v>13</v>
      </c>
      <c r="C133" t="s">
        <v>111</v>
      </c>
      <c r="D133" t="s">
        <v>6</v>
      </c>
      <c r="E133" t="s">
        <v>112</v>
      </c>
      <c r="F133">
        <v>2020</v>
      </c>
      <c r="G133" s="20">
        <v>15655</v>
      </c>
      <c r="H133" t="s">
        <v>121</v>
      </c>
    </row>
    <row r="134" spans="1:8" x14ac:dyDescent="0.2">
      <c r="A134" t="s">
        <v>67</v>
      </c>
      <c r="B134" t="s">
        <v>7</v>
      </c>
      <c r="C134" t="s">
        <v>111</v>
      </c>
      <c r="D134" t="s">
        <v>5</v>
      </c>
      <c r="E134" t="s">
        <v>112</v>
      </c>
      <c r="F134">
        <v>2020</v>
      </c>
      <c r="G134" s="20">
        <v>2675</v>
      </c>
      <c r="H134" t="s">
        <v>123</v>
      </c>
    </row>
    <row r="135" spans="1:8" x14ac:dyDescent="0.2">
      <c r="A135" t="s">
        <v>67</v>
      </c>
      <c r="B135" t="s">
        <v>7</v>
      </c>
      <c r="C135" t="s">
        <v>111</v>
      </c>
      <c r="D135" t="s">
        <v>6</v>
      </c>
      <c r="E135" t="s">
        <v>112</v>
      </c>
      <c r="F135">
        <v>2020</v>
      </c>
      <c r="G135" s="19" t="s">
        <v>124</v>
      </c>
      <c r="H135" t="s">
        <v>123</v>
      </c>
    </row>
    <row r="136" spans="1:8" x14ac:dyDescent="0.2">
      <c r="A136" t="s">
        <v>68</v>
      </c>
      <c r="B136" t="s">
        <v>7</v>
      </c>
      <c r="C136" t="s">
        <v>111</v>
      </c>
      <c r="D136" t="s">
        <v>5</v>
      </c>
      <c r="E136" t="s">
        <v>112</v>
      </c>
      <c r="F136">
        <v>2020</v>
      </c>
      <c r="G136" s="20">
        <v>45881</v>
      </c>
      <c r="H136" t="s">
        <v>126</v>
      </c>
    </row>
    <row r="137" spans="1:8" x14ac:dyDescent="0.2">
      <c r="A137" t="s">
        <v>68</v>
      </c>
      <c r="B137" t="s">
        <v>7</v>
      </c>
      <c r="C137" t="s">
        <v>111</v>
      </c>
      <c r="D137" t="s">
        <v>6</v>
      </c>
      <c r="E137" t="s">
        <v>112</v>
      </c>
      <c r="F137">
        <v>2020</v>
      </c>
      <c r="G137" s="20">
        <v>23497</v>
      </c>
      <c r="H137" t="s">
        <v>126</v>
      </c>
    </row>
    <row r="138" spans="1:8" x14ac:dyDescent="0.2">
      <c r="A138" t="s">
        <v>69</v>
      </c>
      <c r="B138" t="s">
        <v>7</v>
      </c>
      <c r="C138" t="s">
        <v>111</v>
      </c>
      <c r="D138" t="s">
        <v>5</v>
      </c>
      <c r="E138" t="s">
        <v>112</v>
      </c>
      <c r="F138">
        <v>2020</v>
      </c>
      <c r="G138" s="20">
        <v>81472</v>
      </c>
      <c r="H138" t="s">
        <v>113</v>
      </c>
    </row>
    <row r="139" spans="1:8" x14ac:dyDescent="0.2">
      <c r="A139" t="s">
        <v>69</v>
      </c>
      <c r="B139" t="s">
        <v>7</v>
      </c>
      <c r="C139" t="s">
        <v>111</v>
      </c>
      <c r="D139" t="s">
        <v>6</v>
      </c>
      <c r="E139" t="s">
        <v>112</v>
      </c>
      <c r="F139">
        <v>2020</v>
      </c>
      <c r="G139" s="20">
        <v>21618</v>
      </c>
      <c r="H139" t="s">
        <v>113</v>
      </c>
    </row>
    <row r="140" spans="1:8" x14ac:dyDescent="0.2">
      <c r="A140" t="s">
        <v>71</v>
      </c>
      <c r="B140" t="s">
        <v>17</v>
      </c>
      <c r="C140" t="s">
        <v>111</v>
      </c>
      <c r="D140" t="s">
        <v>5</v>
      </c>
      <c r="E140" t="s">
        <v>112</v>
      </c>
      <c r="F140">
        <v>2020</v>
      </c>
      <c r="G140" s="20">
        <v>89374</v>
      </c>
      <c r="H140" t="s">
        <v>113</v>
      </c>
    </row>
    <row r="141" spans="1:8" x14ac:dyDescent="0.2">
      <c r="A141" t="s">
        <v>71</v>
      </c>
      <c r="B141" t="s">
        <v>17</v>
      </c>
      <c r="C141" t="s">
        <v>111</v>
      </c>
      <c r="D141" t="s">
        <v>6</v>
      </c>
      <c r="E141" t="s">
        <v>112</v>
      </c>
      <c r="F141">
        <v>2020</v>
      </c>
      <c r="G141" s="20">
        <v>17076</v>
      </c>
      <c r="H141" t="s">
        <v>113</v>
      </c>
    </row>
    <row r="142" spans="1:8" x14ac:dyDescent="0.2">
      <c r="A142" t="s">
        <v>72</v>
      </c>
      <c r="B142" t="s">
        <v>13</v>
      </c>
      <c r="C142" t="s">
        <v>111</v>
      </c>
      <c r="D142" t="s">
        <v>5</v>
      </c>
      <c r="E142" t="s">
        <v>112</v>
      </c>
      <c r="F142">
        <v>2020</v>
      </c>
      <c r="G142" s="20">
        <v>707778</v>
      </c>
      <c r="H142" t="s">
        <v>121</v>
      </c>
    </row>
    <row r="143" spans="1:8" x14ac:dyDescent="0.2">
      <c r="A143" t="s">
        <v>72</v>
      </c>
      <c r="B143" t="s">
        <v>13</v>
      </c>
      <c r="C143" t="s">
        <v>111</v>
      </c>
      <c r="D143" t="s">
        <v>6</v>
      </c>
      <c r="E143" t="s">
        <v>112</v>
      </c>
      <c r="F143">
        <v>2020</v>
      </c>
      <c r="G143" s="20">
        <v>218843</v>
      </c>
      <c r="H143" t="s">
        <v>121</v>
      </c>
    </row>
    <row r="144" spans="1:8" x14ac:dyDescent="0.2">
      <c r="A144" t="s">
        <v>73</v>
      </c>
      <c r="B144" t="s">
        <v>13</v>
      </c>
      <c r="C144" t="s">
        <v>111</v>
      </c>
      <c r="D144" t="s">
        <v>5</v>
      </c>
      <c r="E144" t="s">
        <v>112</v>
      </c>
      <c r="F144">
        <v>2020</v>
      </c>
      <c r="G144" s="20">
        <v>43956</v>
      </c>
      <c r="H144" t="s">
        <v>121</v>
      </c>
    </row>
    <row r="145" spans="1:8" x14ac:dyDescent="0.2">
      <c r="A145" t="s">
        <v>73</v>
      </c>
      <c r="B145" t="s">
        <v>13</v>
      </c>
      <c r="C145" t="s">
        <v>111</v>
      </c>
      <c r="D145" t="s">
        <v>6</v>
      </c>
      <c r="E145" t="s">
        <v>112</v>
      </c>
      <c r="F145">
        <v>2020</v>
      </c>
      <c r="G145" s="20">
        <v>14199</v>
      </c>
      <c r="H145" t="s">
        <v>121</v>
      </c>
    </row>
    <row r="146" spans="1:8" x14ac:dyDescent="0.2">
      <c r="A146" t="s">
        <v>74</v>
      </c>
      <c r="B146" t="s">
        <v>13</v>
      </c>
      <c r="C146" t="s">
        <v>111</v>
      </c>
      <c r="D146" t="s">
        <v>5</v>
      </c>
      <c r="E146" t="s">
        <v>112</v>
      </c>
      <c r="F146">
        <v>2020</v>
      </c>
      <c r="G146" s="20">
        <v>247122</v>
      </c>
      <c r="H146" t="s">
        <v>121</v>
      </c>
    </row>
    <row r="147" spans="1:8" x14ac:dyDescent="0.2">
      <c r="A147" t="s">
        <v>74</v>
      </c>
      <c r="B147" t="s">
        <v>13</v>
      </c>
      <c r="C147" t="s">
        <v>111</v>
      </c>
      <c r="D147" t="s">
        <v>6</v>
      </c>
      <c r="E147" t="s">
        <v>112</v>
      </c>
      <c r="F147">
        <v>2020</v>
      </c>
      <c r="G147" s="20">
        <v>96774</v>
      </c>
      <c r="H147" t="s">
        <v>121</v>
      </c>
    </row>
    <row r="148" spans="1:8" x14ac:dyDescent="0.2">
      <c r="A148" t="s">
        <v>75</v>
      </c>
      <c r="B148" t="s">
        <v>7</v>
      </c>
      <c r="C148" t="s">
        <v>111</v>
      </c>
      <c r="D148" t="s">
        <v>5</v>
      </c>
      <c r="E148" t="s">
        <v>112</v>
      </c>
      <c r="F148">
        <v>2020</v>
      </c>
      <c r="G148" s="20">
        <v>13327</v>
      </c>
      <c r="H148" t="s">
        <v>121</v>
      </c>
    </row>
    <row r="149" spans="1:8" x14ac:dyDescent="0.2">
      <c r="A149" t="s">
        <v>75</v>
      </c>
      <c r="B149" t="s">
        <v>7</v>
      </c>
      <c r="C149" t="s">
        <v>111</v>
      </c>
      <c r="D149" t="s">
        <v>6</v>
      </c>
      <c r="E149" t="s">
        <v>112</v>
      </c>
      <c r="F149">
        <v>2020</v>
      </c>
      <c r="G149" s="20">
        <v>4653</v>
      </c>
      <c r="H149" t="s">
        <v>121</v>
      </c>
    </row>
    <row r="150" spans="1:8" x14ac:dyDescent="0.2">
      <c r="A150" t="s">
        <v>76</v>
      </c>
      <c r="B150" t="s">
        <v>13</v>
      </c>
      <c r="C150" t="s">
        <v>111</v>
      </c>
      <c r="D150" t="s">
        <v>5</v>
      </c>
      <c r="E150" t="s">
        <v>112</v>
      </c>
      <c r="F150">
        <v>2020</v>
      </c>
      <c r="G150" s="20">
        <v>61566</v>
      </c>
      <c r="H150" t="s">
        <v>121</v>
      </c>
    </row>
    <row r="151" spans="1:8" x14ac:dyDescent="0.2">
      <c r="A151" t="s">
        <v>76</v>
      </c>
      <c r="B151" t="s">
        <v>13</v>
      </c>
      <c r="C151" t="s">
        <v>111</v>
      </c>
      <c r="D151" t="s">
        <v>6</v>
      </c>
      <c r="E151" t="s">
        <v>112</v>
      </c>
      <c r="F151">
        <v>2020</v>
      </c>
      <c r="G151" s="20">
        <v>21211</v>
      </c>
      <c r="H151" t="s">
        <v>121</v>
      </c>
    </row>
    <row r="152" spans="1:8" x14ac:dyDescent="0.2">
      <c r="A152" t="s">
        <v>77</v>
      </c>
      <c r="B152" t="s">
        <v>4</v>
      </c>
      <c r="C152" t="s">
        <v>111</v>
      </c>
      <c r="D152" t="s">
        <v>5</v>
      </c>
      <c r="E152" t="s">
        <v>112</v>
      </c>
      <c r="F152">
        <v>2020</v>
      </c>
      <c r="G152" s="19" t="s">
        <v>28</v>
      </c>
      <c r="H152" t="s">
        <v>113</v>
      </c>
    </row>
    <row r="153" spans="1:8" x14ac:dyDescent="0.2">
      <c r="A153" t="s">
        <v>77</v>
      </c>
      <c r="B153" t="s">
        <v>4</v>
      </c>
      <c r="C153" t="s">
        <v>111</v>
      </c>
      <c r="D153" t="s">
        <v>6</v>
      </c>
      <c r="E153" t="s">
        <v>112</v>
      </c>
      <c r="F153">
        <v>2020</v>
      </c>
      <c r="G153" s="20">
        <v>118129</v>
      </c>
      <c r="H153" t="s">
        <v>113</v>
      </c>
    </row>
    <row r="154" spans="1:8" x14ac:dyDescent="0.2">
      <c r="A154" t="s">
        <v>78</v>
      </c>
      <c r="B154" t="s">
        <v>7</v>
      </c>
      <c r="C154" t="s">
        <v>111</v>
      </c>
      <c r="D154" t="s">
        <v>5</v>
      </c>
      <c r="E154" t="s">
        <v>112</v>
      </c>
      <c r="F154">
        <v>2020</v>
      </c>
      <c r="G154" s="20">
        <v>693488</v>
      </c>
      <c r="H154" t="s">
        <v>113</v>
      </c>
    </row>
    <row r="155" spans="1:8" x14ac:dyDescent="0.2">
      <c r="A155" t="s">
        <v>78</v>
      </c>
      <c r="B155" t="s">
        <v>7</v>
      </c>
      <c r="C155" t="s">
        <v>111</v>
      </c>
      <c r="D155" t="s">
        <v>6</v>
      </c>
      <c r="E155" t="s">
        <v>112</v>
      </c>
      <c r="F155">
        <v>2020</v>
      </c>
      <c r="G155" s="20">
        <v>198568</v>
      </c>
      <c r="H155" t="s">
        <v>113</v>
      </c>
    </row>
    <row r="156" spans="1:8" x14ac:dyDescent="0.2">
      <c r="A156" t="s">
        <v>79</v>
      </c>
      <c r="B156" t="s">
        <v>7</v>
      </c>
      <c r="C156" t="s">
        <v>111</v>
      </c>
      <c r="D156" t="s">
        <v>5</v>
      </c>
      <c r="E156" t="s">
        <v>112</v>
      </c>
      <c r="F156">
        <v>2020</v>
      </c>
      <c r="G156" s="20">
        <v>20908</v>
      </c>
      <c r="H156" t="s">
        <v>113</v>
      </c>
    </row>
    <row r="157" spans="1:8" x14ac:dyDescent="0.2">
      <c r="A157" t="s">
        <v>79</v>
      </c>
      <c r="B157" t="s">
        <v>7</v>
      </c>
      <c r="C157" t="s">
        <v>111</v>
      </c>
      <c r="D157" t="s">
        <v>6</v>
      </c>
      <c r="E157" t="s">
        <v>112</v>
      </c>
      <c r="F157">
        <v>2020</v>
      </c>
      <c r="G157" s="20">
        <v>8169</v>
      </c>
      <c r="H157" t="s">
        <v>113</v>
      </c>
    </row>
    <row r="158" spans="1:8" x14ac:dyDescent="0.2">
      <c r="A158" t="s">
        <v>80</v>
      </c>
      <c r="B158" t="s">
        <v>13</v>
      </c>
      <c r="C158" t="s">
        <v>111</v>
      </c>
      <c r="D158" t="s">
        <v>5</v>
      </c>
      <c r="E158" t="s">
        <v>112</v>
      </c>
      <c r="F158">
        <v>2020</v>
      </c>
      <c r="G158" s="20">
        <v>21482</v>
      </c>
      <c r="H158" t="s">
        <v>121</v>
      </c>
    </row>
    <row r="159" spans="1:8" x14ac:dyDescent="0.2">
      <c r="A159" t="s">
        <v>80</v>
      </c>
      <c r="B159" t="s">
        <v>13</v>
      </c>
      <c r="C159" t="s">
        <v>111</v>
      </c>
      <c r="D159" t="s">
        <v>6</v>
      </c>
      <c r="E159" t="s">
        <v>112</v>
      </c>
      <c r="F159">
        <v>2020</v>
      </c>
      <c r="G159" s="20">
        <v>6476</v>
      </c>
      <c r="H159" t="s">
        <v>121</v>
      </c>
    </row>
    <row r="160" spans="1:8" x14ac:dyDescent="0.2">
      <c r="A160" t="s">
        <v>81</v>
      </c>
      <c r="B160" t="s">
        <v>7</v>
      </c>
      <c r="C160" t="s">
        <v>111</v>
      </c>
      <c r="D160" t="s">
        <v>5</v>
      </c>
      <c r="E160" t="s">
        <v>112</v>
      </c>
      <c r="F160">
        <v>2020</v>
      </c>
      <c r="G160" s="20">
        <v>64226</v>
      </c>
      <c r="H160" t="s">
        <v>121</v>
      </c>
    </row>
    <row r="161" spans="1:8" x14ac:dyDescent="0.2">
      <c r="A161" t="s">
        <v>81</v>
      </c>
      <c r="B161" t="s">
        <v>7</v>
      </c>
      <c r="C161" t="s">
        <v>111</v>
      </c>
      <c r="D161" t="s">
        <v>6</v>
      </c>
      <c r="E161" t="s">
        <v>112</v>
      </c>
      <c r="F161">
        <v>2020</v>
      </c>
      <c r="G161" s="20">
        <v>16485</v>
      </c>
      <c r="H161" t="s">
        <v>121</v>
      </c>
    </row>
    <row r="162" spans="1:8" x14ac:dyDescent="0.2">
      <c r="A162" t="s">
        <v>82</v>
      </c>
      <c r="B162" t="s">
        <v>13</v>
      </c>
      <c r="C162" t="s">
        <v>111</v>
      </c>
      <c r="D162" t="s">
        <v>5</v>
      </c>
      <c r="E162" t="s">
        <v>112</v>
      </c>
      <c r="F162">
        <v>2020</v>
      </c>
      <c r="G162" s="20">
        <v>62682</v>
      </c>
      <c r="H162" t="s">
        <v>121</v>
      </c>
    </row>
    <row r="163" spans="1:8" x14ac:dyDescent="0.2">
      <c r="A163" t="s">
        <v>82</v>
      </c>
      <c r="B163" t="s">
        <v>13</v>
      </c>
      <c r="C163" t="s">
        <v>111</v>
      </c>
      <c r="D163" t="s">
        <v>6</v>
      </c>
      <c r="E163" t="s">
        <v>112</v>
      </c>
      <c r="F163">
        <v>2020</v>
      </c>
      <c r="G163" s="20">
        <v>22733</v>
      </c>
      <c r="H163" t="s">
        <v>121</v>
      </c>
    </row>
    <row r="164" spans="1:8" x14ac:dyDescent="0.2">
      <c r="A164" t="s">
        <v>83</v>
      </c>
      <c r="B164" t="s">
        <v>13</v>
      </c>
      <c r="C164" t="s">
        <v>111</v>
      </c>
      <c r="D164" t="s">
        <v>5</v>
      </c>
      <c r="E164" t="s">
        <v>112</v>
      </c>
      <c r="F164">
        <v>2020</v>
      </c>
      <c r="G164" s="19" t="s">
        <v>42</v>
      </c>
      <c r="H164" t="s">
        <v>121</v>
      </c>
    </row>
    <row r="165" spans="1:8" x14ac:dyDescent="0.2">
      <c r="A165" t="s">
        <v>83</v>
      </c>
      <c r="B165" t="s">
        <v>13</v>
      </c>
      <c r="C165" t="s">
        <v>111</v>
      </c>
      <c r="D165" t="s">
        <v>6</v>
      </c>
      <c r="E165" t="s">
        <v>112</v>
      </c>
      <c r="F165">
        <v>2020</v>
      </c>
      <c r="G165" s="20">
        <v>1245</v>
      </c>
      <c r="H165" t="s">
        <v>121</v>
      </c>
    </row>
    <row r="166" spans="1:8" x14ac:dyDescent="0.2">
      <c r="A166" t="s">
        <v>84</v>
      </c>
      <c r="B166" t="s">
        <v>13</v>
      </c>
      <c r="C166" t="s">
        <v>111</v>
      </c>
      <c r="D166" t="s">
        <v>5</v>
      </c>
      <c r="E166" t="s">
        <v>112</v>
      </c>
      <c r="F166">
        <v>2020</v>
      </c>
      <c r="G166" s="20">
        <v>253606</v>
      </c>
      <c r="H166" t="s">
        <v>121</v>
      </c>
    </row>
    <row r="167" spans="1:8" x14ac:dyDescent="0.2">
      <c r="A167" t="s">
        <v>84</v>
      </c>
      <c r="B167" t="s">
        <v>13</v>
      </c>
      <c r="C167" t="s">
        <v>111</v>
      </c>
      <c r="D167" t="s">
        <v>6</v>
      </c>
      <c r="E167" t="s">
        <v>112</v>
      </c>
      <c r="F167">
        <v>2020</v>
      </c>
      <c r="G167" s="20">
        <v>75776</v>
      </c>
      <c r="H167" t="s">
        <v>121</v>
      </c>
    </row>
    <row r="168" spans="1:8" x14ac:dyDescent="0.2">
      <c r="A168" t="s">
        <v>85</v>
      </c>
      <c r="B168" t="s">
        <v>7</v>
      </c>
      <c r="C168" t="s">
        <v>111</v>
      </c>
      <c r="D168" t="s">
        <v>5</v>
      </c>
      <c r="E168" t="s">
        <v>112</v>
      </c>
      <c r="F168">
        <v>2020</v>
      </c>
      <c r="G168" s="19" t="s">
        <v>130</v>
      </c>
      <c r="H168" t="s">
        <v>113</v>
      </c>
    </row>
    <row r="169" spans="1:8" x14ac:dyDescent="0.2">
      <c r="A169" t="s">
        <v>85</v>
      </c>
      <c r="B169" t="s">
        <v>7</v>
      </c>
      <c r="C169" t="s">
        <v>111</v>
      </c>
      <c r="D169" t="s">
        <v>6</v>
      </c>
      <c r="E169" t="s">
        <v>112</v>
      </c>
      <c r="F169">
        <v>2020</v>
      </c>
      <c r="H169" t="s">
        <v>113</v>
      </c>
    </row>
    <row r="170" spans="1:8" x14ac:dyDescent="0.2">
      <c r="A170" t="s">
        <v>86</v>
      </c>
      <c r="B170" t="s">
        <v>13</v>
      </c>
      <c r="C170" t="s">
        <v>111</v>
      </c>
      <c r="D170" t="s">
        <v>5</v>
      </c>
      <c r="E170" t="s">
        <v>112</v>
      </c>
      <c r="F170">
        <v>2020</v>
      </c>
      <c r="G170" s="20">
        <v>15458</v>
      </c>
      <c r="H170" t="s">
        <v>121</v>
      </c>
    </row>
    <row r="171" spans="1:8" x14ac:dyDescent="0.2">
      <c r="A171" t="s">
        <v>86</v>
      </c>
      <c r="B171" t="s">
        <v>13</v>
      </c>
      <c r="C171" t="s">
        <v>111</v>
      </c>
      <c r="D171" t="s">
        <v>6</v>
      </c>
      <c r="E171" t="s">
        <v>112</v>
      </c>
      <c r="F171">
        <v>2020</v>
      </c>
      <c r="G171" s="20">
        <v>6843</v>
      </c>
      <c r="H171" t="s">
        <v>121</v>
      </c>
    </row>
    <row r="172" spans="1:8" x14ac:dyDescent="0.2">
      <c r="A172" t="s">
        <v>87</v>
      </c>
      <c r="B172" t="s">
        <v>13</v>
      </c>
      <c r="C172" t="s">
        <v>111</v>
      </c>
      <c r="D172" t="s">
        <v>5</v>
      </c>
      <c r="E172" t="s">
        <v>112</v>
      </c>
      <c r="F172">
        <v>2020</v>
      </c>
      <c r="G172" s="20">
        <v>3994</v>
      </c>
      <c r="H172" t="s">
        <v>121</v>
      </c>
    </row>
    <row r="173" spans="1:8" x14ac:dyDescent="0.2">
      <c r="A173" t="s">
        <v>87</v>
      </c>
      <c r="B173" t="s">
        <v>13</v>
      </c>
      <c r="C173" t="s">
        <v>111</v>
      </c>
      <c r="D173" t="s">
        <v>6</v>
      </c>
      <c r="E173" t="s">
        <v>112</v>
      </c>
      <c r="F173">
        <v>2020</v>
      </c>
      <c r="G173" s="19" t="s">
        <v>136</v>
      </c>
      <c r="H173" t="s">
        <v>121</v>
      </c>
    </row>
    <row r="174" spans="1:8" x14ac:dyDescent="0.2">
      <c r="A174" t="s">
        <v>88</v>
      </c>
      <c r="B174" t="s">
        <v>13</v>
      </c>
      <c r="C174" t="s">
        <v>111</v>
      </c>
      <c r="D174" t="s">
        <v>5</v>
      </c>
      <c r="E174" t="s">
        <v>112</v>
      </c>
      <c r="F174">
        <v>2020</v>
      </c>
      <c r="G174" s="20">
        <v>11967</v>
      </c>
      <c r="H174" t="s">
        <v>121</v>
      </c>
    </row>
    <row r="175" spans="1:8" x14ac:dyDescent="0.2">
      <c r="A175" t="s">
        <v>88</v>
      </c>
      <c r="B175" t="s">
        <v>13</v>
      </c>
      <c r="C175" t="s">
        <v>111</v>
      </c>
      <c r="D175" t="s">
        <v>6</v>
      </c>
      <c r="E175" t="s">
        <v>112</v>
      </c>
      <c r="F175">
        <v>2020</v>
      </c>
      <c r="G175" s="20">
        <v>3529</v>
      </c>
      <c r="H175" t="s">
        <v>121</v>
      </c>
    </row>
    <row r="176" spans="1:8" x14ac:dyDescent="0.2">
      <c r="A176" t="s">
        <v>89</v>
      </c>
      <c r="B176" t="s">
        <v>7</v>
      </c>
      <c r="C176" t="s">
        <v>111</v>
      </c>
      <c r="D176" t="s">
        <v>5</v>
      </c>
      <c r="E176" t="s">
        <v>112</v>
      </c>
      <c r="F176">
        <v>2020</v>
      </c>
      <c r="G176" s="20">
        <v>5334</v>
      </c>
      <c r="H176" t="s">
        <v>113</v>
      </c>
    </row>
    <row r="177" spans="1:8" x14ac:dyDescent="0.2">
      <c r="A177" t="s">
        <v>89</v>
      </c>
      <c r="B177" t="s">
        <v>7</v>
      </c>
      <c r="C177" t="s">
        <v>111</v>
      </c>
      <c r="D177" t="s">
        <v>6</v>
      </c>
      <c r="E177" t="s">
        <v>112</v>
      </c>
      <c r="F177">
        <v>2020</v>
      </c>
      <c r="G177" s="20">
        <v>3663</v>
      </c>
      <c r="H177" t="s">
        <v>113</v>
      </c>
    </row>
    <row r="178" spans="1:8" x14ac:dyDescent="0.2">
      <c r="A178" t="s">
        <v>90</v>
      </c>
      <c r="B178" t="s">
        <v>7</v>
      </c>
      <c r="C178" t="s">
        <v>111</v>
      </c>
      <c r="D178" t="s">
        <v>5</v>
      </c>
      <c r="E178" t="s">
        <v>112</v>
      </c>
      <c r="F178">
        <v>2020</v>
      </c>
      <c r="G178" s="20">
        <v>3677</v>
      </c>
      <c r="H178" t="s">
        <v>121</v>
      </c>
    </row>
    <row r="179" spans="1:8" x14ac:dyDescent="0.2">
      <c r="A179" t="s">
        <v>90</v>
      </c>
      <c r="B179" t="s">
        <v>7</v>
      </c>
      <c r="C179" t="s">
        <v>111</v>
      </c>
      <c r="D179" t="s">
        <v>6</v>
      </c>
      <c r="E179" t="s">
        <v>112</v>
      </c>
      <c r="F179">
        <v>2020</v>
      </c>
      <c r="G179" s="19" t="s">
        <v>142</v>
      </c>
      <c r="H179" t="s">
        <v>121</v>
      </c>
    </row>
    <row r="180" spans="1:8" x14ac:dyDescent="0.2">
      <c r="A180" t="s">
        <v>91</v>
      </c>
      <c r="B180" t="s">
        <v>13</v>
      </c>
      <c r="C180" t="s">
        <v>111</v>
      </c>
      <c r="D180" t="s">
        <v>5</v>
      </c>
      <c r="E180" t="s">
        <v>112</v>
      </c>
      <c r="F180">
        <v>2020</v>
      </c>
      <c r="G180" s="20">
        <v>165337</v>
      </c>
      <c r="H180" t="s">
        <v>121</v>
      </c>
    </row>
    <row r="181" spans="1:8" x14ac:dyDescent="0.2">
      <c r="A181" t="s">
        <v>91</v>
      </c>
      <c r="B181" t="s">
        <v>13</v>
      </c>
      <c r="C181" t="s">
        <v>111</v>
      </c>
      <c r="D181" t="s">
        <v>6</v>
      </c>
      <c r="E181" t="s">
        <v>112</v>
      </c>
      <c r="F181">
        <v>2020</v>
      </c>
      <c r="G181" s="20">
        <v>38626</v>
      </c>
      <c r="H181" t="s">
        <v>121</v>
      </c>
    </row>
    <row r="182" spans="1:8" x14ac:dyDescent="0.2">
      <c r="A182" t="s">
        <v>92</v>
      </c>
      <c r="B182" t="s">
        <v>13</v>
      </c>
      <c r="C182" t="s">
        <v>111</v>
      </c>
      <c r="D182" t="s">
        <v>5</v>
      </c>
      <c r="E182" t="s">
        <v>112</v>
      </c>
      <c r="F182">
        <v>2020</v>
      </c>
      <c r="G182" s="20">
        <v>44701</v>
      </c>
      <c r="H182" t="s">
        <v>121</v>
      </c>
    </row>
    <row r="183" spans="1:8" x14ac:dyDescent="0.2">
      <c r="A183" t="s">
        <v>92</v>
      </c>
      <c r="B183" t="s">
        <v>13</v>
      </c>
      <c r="C183" t="s">
        <v>111</v>
      </c>
      <c r="D183" t="s">
        <v>6</v>
      </c>
      <c r="E183" t="s">
        <v>112</v>
      </c>
      <c r="F183">
        <v>2020</v>
      </c>
      <c r="G183" s="20">
        <v>14529</v>
      </c>
      <c r="H183" t="s">
        <v>121</v>
      </c>
    </row>
    <row r="184" spans="1:8" x14ac:dyDescent="0.2">
      <c r="A184" t="s">
        <v>93</v>
      </c>
      <c r="B184" t="s">
        <v>13</v>
      </c>
      <c r="C184" t="s">
        <v>111</v>
      </c>
      <c r="D184" t="s">
        <v>5</v>
      </c>
      <c r="E184" t="s">
        <v>112</v>
      </c>
      <c r="F184">
        <v>2020</v>
      </c>
      <c r="G184" s="20">
        <v>228882</v>
      </c>
      <c r="H184" t="s">
        <v>121</v>
      </c>
    </row>
    <row r="185" spans="1:8" x14ac:dyDescent="0.2">
      <c r="A185" t="s">
        <v>93</v>
      </c>
      <c r="B185" t="s">
        <v>13</v>
      </c>
      <c r="C185" t="s">
        <v>111</v>
      </c>
      <c r="D185" t="s">
        <v>6</v>
      </c>
      <c r="E185" t="s">
        <v>112</v>
      </c>
      <c r="F185">
        <v>2020</v>
      </c>
      <c r="G185" s="20">
        <v>61712</v>
      </c>
      <c r="H185" t="s">
        <v>121</v>
      </c>
    </row>
    <row r="186" spans="1:8" x14ac:dyDescent="0.2">
      <c r="A186" t="s">
        <v>94</v>
      </c>
      <c r="B186" t="s">
        <v>13</v>
      </c>
      <c r="C186" t="s">
        <v>111</v>
      </c>
      <c r="D186" t="s">
        <v>5</v>
      </c>
      <c r="E186" t="s">
        <v>112</v>
      </c>
      <c r="F186">
        <v>2020</v>
      </c>
      <c r="G186" s="20">
        <v>67306</v>
      </c>
      <c r="H186" t="s">
        <v>121</v>
      </c>
    </row>
    <row r="187" spans="1:8" x14ac:dyDescent="0.2">
      <c r="A187" t="s">
        <v>94</v>
      </c>
      <c r="B187" t="s">
        <v>13</v>
      </c>
      <c r="C187" t="s">
        <v>111</v>
      </c>
      <c r="D187" t="s">
        <v>6</v>
      </c>
      <c r="E187" t="s">
        <v>112</v>
      </c>
      <c r="F187">
        <v>2020</v>
      </c>
      <c r="G187" s="20">
        <v>25531</v>
      </c>
      <c r="H187" t="s">
        <v>121</v>
      </c>
    </row>
    <row r="188" spans="1:8" x14ac:dyDescent="0.2">
      <c r="A188" t="s">
        <v>95</v>
      </c>
      <c r="B188" t="s">
        <v>52</v>
      </c>
      <c r="C188" t="s">
        <v>111</v>
      </c>
      <c r="D188" t="s">
        <v>5</v>
      </c>
      <c r="E188" t="s">
        <v>112</v>
      </c>
      <c r="F188">
        <v>2020</v>
      </c>
      <c r="G188" s="20">
        <v>51765</v>
      </c>
      <c r="H188" t="s">
        <v>121</v>
      </c>
    </row>
    <row r="189" spans="1:8" x14ac:dyDescent="0.2">
      <c r="A189" t="s">
        <v>95</v>
      </c>
      <c r="B189" t="s">
        <v>52</v>
      </c>
      <c r="C189" t="s">
        <v>111</v>
      </c>
      <c r="D189" t="s">
        <v>6</v>
      </c>
      <c r="E189" t="s">
        <v>112</v>
      </c>
      <c r="F189">
        <v>2020</v>
      </c>
      <c r="G189" s="20">
        <v>29029</v>
      </c>
      <c r="H189" t="s">
        <v>121</v>
      </c>
    </row>
    <row r="190" spans="1:8" x14ac:dyDescent="0.2">
      <c r="A190" t="s">
        <v>97</v>
      </c>
      <c r="B190" t="s">
        <v>7</v>
      </c>
      <c r="C190" t="s">
        <v>111</v>
      </c>
      <c r="D190" t="s">
        <v>5</v>
      </c>
      <c r="E190" t="s">
        <v>112</v>
      </c>
      <c r="F190">
        <v>2020</v>
      </c>
      <c r="G190" s="19" t="s">
        <v>56</v>
      </c>
      <c r="H190" t="s">
        <v>113</v>
      </c>
    </row>
    <row r="191" spans="1:8" x14ac:dyDescent="0.2">
      <c r="A191" t="s">
        <v>97</v>
      </c>
      <c r="B191" t="s">
        <v>7</v>
      </c>
      <c r="C191" t="s">
        <v>111</v>
      </c>
      <c r="D191" t="s">
        <v>6</v>
      </c>
      <c r="E191" t="s">
        <v>112</v>
      </c>
      <c r="F191">
        <v>2020</v>
      </c>
      <c r="G191" s="19" t="s">
        <v>57</v>
      </c>
      <c r="H191" t="s">
        <v>113</v>
      </c>
    </row>
    <row r="192" spans="1:8" x14ac:dyDescent="0.2">
      <c r="A192" t="s">
        <v>98</v>
      </c>
      <c r="B192" t="s">
        <v>7</v>
      </c>
      <c r="C192" t="s">
        <v>111</v>
      </c>
      <c r="D192" t="s">
        <v>5</v>
      </c>
      <c r="E192" t="s">
        <v>112</v>
      </c>
      <c r="F192">
        <v>2020</v>
      </c>
      <c r="G192" s="20">
        <v>16571</v>
      </c>
      <c r="H192" t="s">
        <v>121</v>
      </c>
    </row>
    <row r="193" spans="1:8" x14ac:dyDescent="0.2">
      <c r="A193" t="s">
        <v>98</v>
      </c>
      <c r="B193" t="s">
        <v>7</v>
      </c>
      <c r="C193" t="s">
        <v>111</v>
      </c>
      <c r="D193" t="s">
        <v>6</v>
      </c>
      <c r="E193" t="s">
        <v>112</v>
      </c>
      <c r="F193">
        <v>2020</v>
      </c>
      <c r="G193" s="20">
        <v>4213</v>
      </c>
      <c r="H193" t="s">
        <v>121</v>
      </c>
    </row>
    <row r="194" spans="1:8" x14ac:dyDescent="0.2">
      <c r="A194" t="s">
        <v>99</v>
      </c>
      <c r="B194" t="s">
        <v>13</v>
      </c>
      <c r="C194" t="s">
        <v>111</v>
      </c>
      <c r="D194" t="s">
        <v>5</v>
      </c>
      <c r="E194" t="s">
        <v>112</v>
      </c>
      <c r="F194">
        <v>2020</v>
      </c>
      <c r="G194" s="20">
        <v>121055</v>
      </c>
      <c r="H194" t="s">
        <v>121</v>
      </c>
    </row>
    <row r="195" spans="1:8" x14ac:dyDescent="0.2">
      <c r="A195" t="s">
        <v>99</v>
      </c>
      <c r="B195" t="s">
        <v>13</v>
      </c>
      <c r="C195" t="s">
        <v>111</v>
      </c>
      <c r="D195" t="s">
        <v>6</v>
      </c>
      <c r="E195" t="s">
        <v>112</v>
      </c>
      <c r="F195">
        <v>2020</v>
      </c>
      <c r="G195" s="20">
        <v>41158</v>
      </c>
      <c r="H195" t="s">
        <v>121</v>
      </c>
    </row>
    <row r="196" spans="1:8" x14ac:dyDescent="0.2">
      <c r="A196" t="s">
        <v>100</v>
      </c>
      <c r="B196" t="s">
        <v>7</v>
      </c>
      <c r="C196" t="s">
        <v>111</v>
      </c>
      <c r="D196" t="s">
        <v>5</v>
      </c>
      <c r="E196" t="s">
        <v>112</v>
      </c>
      <c r="F196">
        <v>2020</v>
      </c>
      <c r="G196" s="20">
        <v>133075</v>
      </c>
      <c r="H196" t="s">
        <v>113</v>
      </c>
    </row>
    <row r="197" spans="1:8" x14ac:dyDescent="0.2">
      <c r="A197" t="s">
        <v>100</v>
      </c>
      <c r="B197" t="s">
        <v>7</v>
      </c>
      <c r="C197" t="s">
        <v>111</v>
      </c>
      <c r="D197" t="s">
        <v>6</v>
      </c>
      <c r="E197" t="s">
        <v>112</v>
      </c>
      <c r="F197">
        <v>2020</v>
      </c>
      <c r="G197" s="20">
        <v>34495</v>
      </c>
      <c r="H197" t="s">
        <v>113</v>
      </c>
    </row>
    <row r="198" spans="1:8" x14ac:dyDescent="0.2">
      <c r="A198" t="s">
        <v>63</v>
      </c>
      <c r="B198" t="s">
        <v>7</v>
      </c>
      <c r="C198" t="s">
        <v>111</v>
      </c>
      <c r="D198" t="s">
        <v>5</v>
      </c>
      <c r="E198" t="s">
        <v>112</v>
      </c>
      <c r="F198">
        <v>2019</v>
      </c>
      <c r="G198" s="19" t="s">
        <v>10</v>
      </c>
      <c r="H198" t="s">
        <v>113</v>
      </c>
    </row>
    <row r="199" spans="1:8" x14ac:dyDescent="0.2">
      <c r="A199" t="s">
        <v>63</v>
      </c>
      <c r="B199" t="s">
        <v>7</v>
      </c>
      <c r="C199" t="s">
        <v>111</v>
      </c>
      <c r="D199" t="s">
        <v>6</v>
      </c>
      <c r="E199" t="s">
        <v>112</v>
      </c>
      <c r="F199">
        <v>2019</v>
      </c>
      <c r="G199" s="19" t="s">
        <v>115</v>
      </c>
      <c r="H199" t="s">
        <v>113</v>
      </c>
    </row>
    <row r="200" spans="1:8" x14ac:dyDescent="0.2">
      <c r="A200" t="s">
        <v>64</v>
      </c>
      <c r="B200" t="s">
        <v>7</v>
      </c>
      <c r="C200" t="s">
        <v>111</v>
      </c>
      <c r="D200" t="s">
        <v>5</v>
      </c>
      <c r="E200" t="s">
        <v>112</v>
      </c>
      <c r="F200">
        <v>2019</v>
      </c>
      <c r="G200" s="20">
        <v>47342</v>
      </c>
      <c r="H200" t="s">
        <v>113</v>
      </c>
    </row>
    <row r="201" spans="1:8" x14ac:dyDescent="0.2">
      <c r="A201" t="s">
        <v>64</v>
      </c>
      <c r="B201" t="s">
        <v>7</v>
      </c>
      <c r="C201" t="s">
        <v>111</v>
      </c>
      <c r="D201" t="s">
        <v>6</v>
      </c>
      <c r="E201" t="s">
        <v>112</v>
      </c>
      <c r="F201">
        <v>2019</v>
      </c>
      <c r="G201" s="20">
        <v>17339</v>
      </c>
      <c r="H201" t="s">
        <v>113</v>
      </c>
    </row>
    <row r="202" spans="1:8" x14ac:dyDescent="0.2">
      <c r="A202" t="s">
        <v>65</v>
      </c>
      <c r="B202" t="s">
        <v>13</v>
      </c>
      <c r="C202" t="s">
        <v>111</v>
      </c>
      <c r="D202" t="s">
        <v>5</v>
      </c>
      <c r="E202" t="s">
        <v>112</v>
      </c>
      <c r="F202">
        <v>2019</v>
      </c>
      <c r="G202" s="20">
        <v>79862</v>
      </c>
      <c r="H202" t="s">
        <v>121</v>
      </c>
    </row>
    <row r="203" spans="1:8" x14ac:dyDescent="0.2">
      <c r="A203" t="s">
        <v>65</v>
      </c>
      <c r="B203" t="s">
        <v>13</v>
      </c>
      <c r="C203" t="s">
        <v>111</v>
      </c>
      <c r="D203" t="s">
        <v>6</v>
      </c>
      <c r="E203" t="s">
        <v>112</v>
      </c>
      <c r="F203">
        <v>2019</v>
      </c>
      <c r="G203" s="20">
        <v>19052</v>
      </c>
      <c r="H203" t="s">
        <v>121</v>
      </c>
    </row>
    <row r="204" spans="1:8" x14ac:dyDescent="0.2">
      <c r="A204" t="s">
        <v>66</v>
      </c>
      <c r="B204" t="s">
        <v>13</v>
      </c>
      <c r="C204" t="s">
        <v>111</v>
      </c>
      <c r="D204" t="s">
        <v>5</v>
      </c>
      <c r="E204" t="s">
        <v>112</v>
      </c>
      <c r="F204">
        <v>2019</v>
      </c>
      <c r="G204" s="20">
        <v>37581</v>
      </c>
      <c r="H204" t="s">
        <v>121</v>
      </c>
    </row>
    <row r="205" spans="1:8" x14ac:dyDescent="0.2">
      <c r="A205" t="s">
        <v>66</v>
      </c>
      <c r="B205" t="s">
        <v>13</v>
      </c>
      <c r="C205" t="s">
        <v>111</v>
      </c>
      <c r="D205" t="s">
        <v>6</v>
      </c>
      <c r="E205" t="s">
        <v>112</v>
      </c>
      <c r="F205">
        <v>2019</v>
      </c>
      <c r="G205" s="20">
        <v>14375</v>
      </c>
      <c r="H205" t="s">
        <v>121</v>
      </c>
    </row>
    <row r="206" spans="1:8" x14ac:dyDescent="0.2">
      <c r="A206" t="s">
        <v>67</v>
      </c>
      <c r="B206" t="s">
        <v>7</v>
      </c>
      <c r="C206" t="s">
        <v>111</v>
      </c>
      <c r="D206" t="s">
        <v>5</v>
      </c>
      <c r="E206" t="s">
        <v>112</v>
      </c>
      <c r="F206">
        <v>2019</v>
      </c>
      <c r="G206" s="20">
        <v>3309</v>
      </c>
      <c r="H206" t="s">
        <v>113</v>
      </c>
    </row>
    <row r="207" spans="1:8" x14ac:dyDescent="0.2">
      <c r="A207" t="s">
        <v>67</v>
      </c>
      <c r="B207" t="s">
        <v>7</v>
      </c>
      <c r="C207" t="s">
        <v>111</v>
      </c>
      <c r="D207" t="s">
        <v>6</v>
      </c>
      <c r="E207" t="s">
        <v>112</v>
      </c>
      <c r="F207">
        <v>2019</v>
      </c>
      <c r="G207" s="19" t="s">
        <v>125</v>
      </c>
      <c r="H207" t="s">
        <v>113</v>
      </c>
    </row>
    <row r="208" spans="1:8" x14ac:dyDescent="0.2">
      <c r="A208" t="s">
        <v>68</v>
      </c>
      <c r="B208" t="s">
        <v>7</v>
      </c>
      <c r="C208" t="s">
        <v>111</v>
      </c>
      <c r="D208" t="s">
        <v>5</v>
      </c>
      <c r="E208" t="s">
        <v>112</v>
      </c>
      <c r="F208">
        <v>2019</v>
      </c>
      <c r="G208" s="20">
        <v>35719</v>
      </c>
      <c r="H208" t="s">
        <v>126</v>
      </c>
    </row>
    <row r="209" spans="1:8" x14ac:dyDescent="0.2">
      <c r="A209" t="s">
        <v>68</v>
      </c>
      <c r="B209" t="s">
        <v>7</v>
      </c>
      <c r="C209" t="s">
        <v>111</v>
      </c>
      <c r="D209" t="s">
        <v>6</v>
      </c>
      <c r="E209" t="s">
        <v>112</v>
      </c>
      <c r="F209">
        <v>2019</v>
      </c>
      <c r="G209" s="20">
        <v>13352</v>
      </c>
      <c r="H209" t="s">
        <v>126</v>
      </c>
    </row>
    <row r="210" spans="1:8" x14ac:dyDescent="0.2">
      <c r="A210" t="s">
        <v>69</v>
      </c>
      <c r="B210" t="s">
        <v>7</v>
      </c>
      <c r="C210" t="s">
        <v>111</v>
      </c>
      <c r="D210" t="s">
        <v>5</v>
      </c>
      <c r="E210" t="s">
        <v>112</v>
      </c>
      <c r="F210">
        <v>2019</v>
      </c>
      <c r="G210" s="20">
        <v>77938</v>
      </c>
      <c r="H210" t="s">
        <v>113</v>
      </c>
    </row>
    <row r="211" spans="1:8" x14ac:dyDescent="0.2">
      <c r="A211" t="s">
        <v>69</v>
      </c>
      <c r="B211" t="s">
        <v>7</v>
      </c>
      <c r="C211" t="s">
        <v>111</v>
      </c>
      <c r="D211" t="s">
        <v>6</v>
      </c>
      <c r="E211" t="s">
        <v>112</v>
      </c>
      <c r="F211">
        <v>2019</v>
      </c>
      <c r="G211" s="20">
        <v>19216</v>
      </c>
      <c r="H211" t="s">
        <v>113</v>
      </c>
    </row>
    <row r="212" spans="1:8" x14ac:dyDescent="0.2">
      <c r="A212" t="s">
        <v>71</v>
      </c>
      <c r="B212" t="s">
        <v>17</v>
      </c>
      <c r="C212" t="s">
        <v>111</v>
      </c>
      <c r="D212" t="s">
        <v>5</v>
      </c>
      <c r="E212" t="s">
        <v>112</v>
      </c>
      <c r="F212">
        <v>2019</v>
      </c>
      <c r="G212" s="20">
        <v>84148</v>
      </c>
      <c r="H212" t="s">
        <v>113</v>
      </c>
    </row>
    <row r="213" spans="1:8" x14ac:dyDescent="0.2">
      <c r="A213" t="s">
        <v>71</v>
      </c>
      <c r="B213" t="s">
        <v>17</v>
      </c>
      <c r="C213" t="s">
        <v>111</v>
      </c>
      <c r="D213" t="s">
        <v>6</v>
      </c>
      <c r="E213" t="s">
        <v>112</v>
      </c>
      <c r="F213">
        <v>2019</v>
      </c>
      <c r="G213" s="20">
        <v>15982</v>
      </c>
      <c r="H213" t="s">
        <v>113</v>
      </c>
    </row>
    <row r="214" spans="1:8" x14ac:dyDescent="0.2">
      <c r="A214" t="s">
        <v>72</v>
      </c>
      <c r="B214" t="s">
        <v>13</v>
      </c>
      <c r="C214" t="s">
        <v>111</v>
      </c>
      <c r="D214" t="s">
        <v>5</v>
      </c>
      <c r="E214" t="s">
        <v>112</v>
      </c>
      <c r="F214">
        <v>2019</v>
      </c>
      <c r="G214" s="20">
        <v>426369</v>
      </c>
      <c r="H214" t="s">
        <v>121</v>
      </c>
    </row>
    <row r="215" spans="1:8" x14ac:dyDescent="0.2">
      <c r="A215" t="s">
        <v>72</v>
      </c>
      <c r="B215" t="s">
        <v>13</v>
      </c>
      <c r="C215" t="s">
        <v>111</v>
      </c>
      <c r="D215" t="s">
        <v>6</v>
      </c>
      <c r="E215" t="s">
        <v>112</v>
      </c>
      <c r="F215">
        <v>2019</v>
      </c>
      <c r="G215" s="20">
        <v>134766</v>
      </c>
      <c r="H215" t="s">
        <v>121</v>
      </c>
    </row>
    <row r="216" spans="1:8" x14ac:dyDescent="0.2">
      <c r="A216" t="s">
        <v>73</v>
      </c>
      <c r="B216" t="s">
        <v>13</v>
      </c>
      <c r="C216" t="s">
        <v>111</v>
      </c>
      <c r="D216" t="s">
        <v>5</v>
      </c>
      <c r="E216" t="s">
        <v>112</v>
      </c>
      <c r="F216">
        <v>2019</v>
      </c>
      <c r="G216" s="20">
        <v>46956</v>
      </c>
      <c r="H216" t="s">
        <v>121</v>
      </c>
    </row>
    <row r="217" spans="1:8" x14ac:dyDescent="0.2">
      <c r="A217" t="s">
        <v>73</v>
      </c>
      <c r="B217" t="s">
        <v>13</v>
      </c>
      <c r="C217" t="s">
        <v>111</v>
      </c>
      <c r="D217" t="s">
        <v>6</v>
      </c>
      <c r="E217" t="s">
        <v>112</v>
      </c>
      <c r="F217">
        <v>2019</v>
      </c>
      <c r="G217" s="20">
        <v>12351</v>
      </c>
      <c r="H217" t="s">
        <v>121</v>
      </c>
    </row>
    <row r="218" spans="1:8" x14ac:dyDescent="0.2">
      <c r="A218" t="s">
        <v>74</v>
      </c>
      <c r="B218" t="s">
        <v>13</v>
      </c>
      <c r="C218" t="s">
        <v>111</v>
      </c>
      <c r="D218" t="s">
        <v>5</v>
      </c>
      <c r="E218" t="s">
        <v>112</v>
      </c>
      <c r="F218">
        <v>2019</v>
      </c>
      <c r="G218" s="19" t="s">
        <v>23</v>
      </c>
      <c r="H218" t="s">
        <v>121</v>
      </c>
    </row>
    <row r="219" spans="1:8" x14ac:dyDescent="0.2">
      <c r="A219" t="s">
        <v>74</v>
      </c>
      <c r="B219" t="s">
        <v>13</v>
      </c>
      <c r="C219" t="s">
        <v>111</v>
      </c>
      <c r="D219" t="s">
        <v>6</v>
      </c>
      <c r="E219" t="s">
        <v>112</v>
      </c>
      <c r="F219">
        <v>2019</v>
      </c>
      <c r="G219" s="20">
        <v>87831</v>
      </c>
      <c r="H219" t="s">
        <v>121</v>
      </c>
    </row>
    <row r="220" spans="1:8" x14ac:dyDescent="0.2">
      <c r="A220" t="s">
        <v>75</v>
      </c>
      <c r="B220" t="s">
        <v>7</v>
      </c>
      <c r="C220" t="s">
        <v>111</v>
      </c>
      <c r="D220" t="s">
        <v>5</v>
      </c>
      <c r="E220" t="s">
        <v>112</v>
      </c>
      <c r="F220">
        <v>2019</v>
      </c>
      <c r="G220" s="20">
        <v>14743</v>
      </c>
      <c r="H220" t="s">
        <v>121</v>
      </c>
    </row>
    <row r="221" spans="1:8" x14ac:dyDescent="0.2">
      <c r="A221" t="s">
        <v>75</v>
      </c>
      <c r="B221" t="s">
        <v>7</v>
      </c>
      <c r="C221" t="s">
        <v>111</v>
      </c>
      <c r="D221" t="s">
        <v>6</v>
      </c>
      <c r="E221" t="s">
        <v>112</v>
      </c>
      <c r="F221">
        <v>2019</v>
      </c>
      <c r="G221" s="19" t="s">
        <v>24</v>
      </c>
      <c r="H221" t="s">
        <v>121</v>
      </c>
    </row>
    <row r="222" spans="1:8" x14ac:dyDescent="0.2">
      <c r="A222" t="s">
        <v>76</v>
      </c>
      <c r="B222" t="s">
        <v>13</v>
      </c>
      <c r="C222" t="s">
        <v>111</v>
      </c>
      <c r="D222" t="s">
        <v>5</v>
      </c>
      <c r="E222" t="s">
        <v>112</v>
      </c>
      <c r="F222">
        <v>2019</v>
      </c>
      <c r="G222" s="20">
        <v>54287</v>
      </c>
      <c r="H222" t="s">
        <v>121</v>
      </c>
    </row>
    <row r="223" spans="1:8" x14ac:dyDescent="0.2">
      <c r="A223" t="s">
        <v>76</v>
      </c>
      <c r="B223" t="s">
        <v>13</v>
      </c>
      <c r="C223" t="s">
        <v>111</v>
      </c>
      <c r="D223" t="s">
        <v>6</v>
      </c>
      <c r="E223" t="s">
        <v>112</v>
      </c>
      <c r="F223">
        <v>2019</v>
      </c>
      <c r="G223" s="19" t="s">
        <v>25</v>
      </c>
      <c r="H223" t="s">
        <v>121</v>
      </c>
    </row>
    <row r="224" spans="1:8" x14ac:dyDescent="0.2">
      <c r="A224" t="s">
        <v>77</v>
      </c>
      <c r="B224" t="s">
        <v>4</v>
      </c>
      <c r="C224" t="s">
        <v>111</v>
      </c>
      <c r="D224" t="s">
        <v>5</v>
      </c>
      <c r="E224" t="s">
        <v>112</v>
      </c>
      <c r="F224">
        <v>2019</v>
      </c>
      <c r="G224" s="20">
        <v>337391</v>
      </c>
      <c r="H224" t="s">
        <v>113</v>
      </c>
    </row>
    <row r="225" spans="1:8" x14ac:dyDescent="0.2">
      <c r="A225" t="s">
        <v>77</v>
      </c>
      <c r="B225" t="s">
        <v>4</v>
      </c>
      <c r="C225" t="s">
        <v>111</v>
      </c>
      <c r="D225" t="s">
        <v>6</v>
      </c>
      <c r="E225" t="s">
        <v>112</v>
      </c>
      <c r="F225">
        <v>2019</v>
      </c>
      <c r="G225" s="20">
        <v>103823</v>
      </c>
      <c r="H225" t="s">
        <v>113</v>
      </c>
    </row>
    <row r="226" spans="1:8" x14ac:dyDescent="0.2">
      <c r="A226" t="s">
        <v>78</v>
      </c>
      <c r="B226" t="s">
        <v>7</v>
      </c>
      <c r="C226" t="s">
        <v>111</v>
      </c>
      <c r="D226" t="s">
        <v>5</v>
      </c>
      <c r="E226" t="s">
        <v>112</v>
      </c>
      <c r="F226">
        <v>2019</v>
      </c>
      <c r="G226" s="20">
        <v>575283</v>
      </c>
      <c r="H226" t="s">
        <v>113</v>
      </c>
    </row>
    <row r="227" spans="1:8" x14ac:dyDescent="0.2">
      <c r="A227" t="s">
        <v>78</v>
      </c>
      <c r="B227" t="s">
        <v>7</v>
      </c>
      <c r="C227" t="s">
        <v>111</v>
      </c>
      <c r="D227" t="s">
        <v>6</v>
      </c>
      <c r="E227" t="s">
        <v>112</v>
      </c>
      <c r="F227">
        <v>2019</v>
      </c>
      <c r="G227" s="20">
        <v>154933</v>
      </c>
      <c r="H227" t="s">
        <v>113</v>
      </c>
    </row>
    <row r="228" spans="1:8" x14ac:dyDescent="0.2">
      <c r="A228" t="s">
        <v>79</v>
      </c>
      <c r="B228" t="s">
        <v>7</v>
      </c>
      <c r="C228" t="s">
        <v>111</v>
      </c>
      <c r="D228" t="s">
        <v>5</v>
      </c>
      <c r="E228" t="s">
        <v>112</v>
      </c>
      <c r="F228">
        <v>2019</v>
      </c>
      <c r="G228" s="20">
        <v>19555</v>
      </c>
      <c r="H228" t="s">
        <v>113</v>
      </c>
    </row>
    <row r="229" spans="1:8" x14ac:dyDescent="0.2">
      <c r="A229" t="s">
        <v>79</v>
      </c>
      <c r="B229" t="s">
        <v>7</v>
      </c>
      <c r="C229" t="s">
        <v>111</v>
      </c>
      <c r="D229" t="s">
        <v>6</v>
      </c>
      <c r="E229" t="s">
        <v>112</v>
      </c>
      <c r="F229">
        <v>2019</v>
      </c>
      <c r="G229" s="20">
        <v>7152</v>
      </c>
      <c r="H229" t="s">
        <v>113</v>
      </c>
    </row>
    <row r="230" spans="1:8" x14ac:dyDescent="0.2">
      <c r="A230" t="s">
        <v>80</v>
      </c>
      <c r="B230" t="s">
        <v>13</v>
      </c>
      <c r="C230" t="s">
        <v>111</v>
      </c>
      <c r="D230" t="s">
        <v>5</v>
      </c>
      <c r="E230" t="s">
        <v>112</v>
      </c>
      <c r="F230">
        <v>2019</v>
      </c>
      <c r="G230" s="20">
        <v>17317</v>
      </c>
      <c r="H230" t="s">
        <v>121</v>
      </c>
    </row>
    <row r="231" spans="1:8" x14ac:dyDescent="0.2">
      <c r="A231" t="s">
        <v>80</v>
      </c>
      <c r="B231" t="s">
        <v>13</v>
      </c>
      <c r="C231" t="s">
        <v>111</v>
      </c>
      <c r="D231" t="s">
        <v>6</v>
      </c>
      <c r="E231" t="s">
        <v>112</v>
      </c>
      <c r="F231">
        <v>2019</v>
      </c>
      <c r="G231" s="20">
        <v>5382</v>
      </c>
      <c r="H231" t="s">
        <v>121</v>
      </c>
    </row>
    <row r="232" spans="1:8" x14ac:dyDescent="0.2">
      <c r="A232" t="s">
        <v>81</v>
      </c>
      <c r="B232" t="s">
        <v>7</v>
      </c>
      <c r="C232" t="s">
        <v>111</v>
      </c>
      <c r="D232" t="s">
        <v>5</v>
      </c>
      <c r="E232" t="s">
        <v>112</v>
      </c>
      <c r="F232">
        <v>2019</v>
      </c>
      <c r="G232" s="20">
        <v>54985</v>
      </c>
      <c r="H232" t="s">
        <v>121</v>
      </c>
    </row>
    <row r="233" spans="1:8" x14ac:dyDescent="0.2">
      <c r="A233" t="s">
        <v>81</v>
      </c>
      <c r="B233" t="s">
        <v>7</v>
      </c>
      <c r="C233" t="s">
        <v>111</v>
      </c>
      <c r="D233" t="s">
        <v>6</v>
      </c>
      <c r="E233" t="s">
        <v>112</v>
      </c>
      <c r="F233">
        <v>2019</v>
      </c>
      <c r="G233" s="20">
        <v>11065</v>
      </c>
      <c r="H233" t="s">
        <v>121</v>
      </c>
    </row>
    <row r="234" spans="1:8" x14ac:dyDescent="0.2">
      <c r="A234" t="s">
        <v>82</v>
      </c>
      <c r="B234" t="s">
        <v>13</v>
      </c>
      <c r="C234" t="s">
        <v>111</v>
      </c>
      <c r="D234" t="s">
        <v>5</v>
      </c>
      <c r="E234" t="s">
        <v>112</v>
      </c>
      <c r="F234">
        <v>2019</v>
      </c>
      <c r="G234" s="19" t="s">
        <v>38</v>
      </c>
      <c r="H234" t="s">
        <v>121</v>
      </c>
    </row>
    <row r="235" spans="1:8" x14ac:dyDescent="0.2">
      <c r="A235" t="s">
        <v>82</v>
      </c>
      <c r="B235" t="s">
        <v>13</v>
      </c>
      <c r="C235" t="s">
        <v>111</v>
      </c>
      <c r="D235" t="s">
        <v>6</v>
      </c>
      <c r="E235" t="s">
        <v>112</v>
      </c>
      <c r="F235">
        <v>2019</v>
      </c>
      <c r="G235" s="19" t="s">
        <v>39</v>
      </c>
      <c r="H235" t="s">
        <v>121</v>
      </c>
    </row>
    <row r="236" spans="1:8" x14ac:dyDescent="0.2">
      <c r="A236" t="s">
        <v>83</v>
      </c>
      <c r="B236" t="s">
        <v>13</v>
      </c>
      <c r="C236" t="s">
        <v>111</v>
      </c>
      <c r="D236" t="s">
        <v>5</v>
      </c>
      <c r="E236" t="s">
        <v>112</v>
      </c>
      <c r="F236">
        <v>2019</v>
      </c>
      <c r="G236" s="20">
        <v>3342</v>
      </c>
      <c r="H236" t="s">
        <v>121</v>
      </c>
    </row>
    <row r="237" spans="1:8" x14ac:dyDescent="0.2">
      <c r="A237" t="s">
        <v>83</v>
      </c>
      <c r="B237" t="s">
        <v>13</v>
      </c>
      <c r="C237" t="s">
        <v>111</v>
      </c>
      <c r="D237" t="s">
        <v>6</v>
      </c>
      <c r="E237" t="s">
        <v>112</v>
      </c>
      <c r="F237">
        <v>2019</v>
      </c>
      <c r="G237" s="19" t="s">
        <v>127</v>
      </c>
      <c r="H237" t="s">
        <v>121</v>
      </c>
    </row>
    <row r="238" spans="1:8" x14ac:dyDescent="0.2">
      <c r="A238" t="s">
        <v>84</v>
      </c>
      <c r="B238" t="s">
        <v>13</v>
      </c>
      <c r="C238" t="s">
        <v>111</v>
      </c>
      <c r="D238" t="s">
        <v>5</v>
      </c>
      <c r="E238" t="s">
        <v>112</v>
      </c>
      <c r="F238">
        <v>2019</v>
      </c>
      <c r="G238" s="20">
        <v>252689</v>
      </c>
      <c r="H238" t="s">
        <v>121</v>
      </c>
    </row>
    <row r="239" spans="1:8" x14ac:dyDescent="0.2">
      <c r="A239" t="s">
        <v>84</v>
      </c>
      <c r="B239" t="s">
        <v>13</v>
      </c>
      <c r="C239" t="s">
        <v>111</v>
      </c>
      <c r="D239" t="s">
        <v>6</v>
      </c>
      <c r="E239" t="s">
        <v>112</v>
      </c>
      <c r="F239">
        <v>2019</v>
      </c>
      <c r="G239" s="20">
        <v>74398</v>
      </c>
      <c r="H239" t="s">
        <v>121</v>
      </c>
    </row>
    <row r="240" spans="1:8" x14ac:dyDescent="0.2">
      <c r="A240" t="s">
        <v>85</v>
      </c>
      <c r="B240" t="s">
        <v>7</v>
      </c>
      <c r="C240" t="s">
        <v>111</v>
      </c>
      <c r="D240" t="s">
        <v>5</v>
      </c>
      <c r="E240" t="s">
        <v>112</v>
      </c>
      <c r="F240">
        <v>2019</v>
      </c>
      <c r="G240" s="20">
        <v>1016</v>
      </c>
      <c r="H240" t="s">
        <v>113</v>
      </c>
    </row>
    <row r="241" spans="1:8" x14ac:dyDescent="0.2">
      <c r="A241" t="s">
        <v>85</v>
      </c>
      <c r="B241" t="s">
        <v>7</v>
      </c>
      <c r="C241" t="s">
        <v>111</v>
      </c>
      <c r="D241" t="s">
        <v>6</v>
      </c>
      <c r="E241" t="s">
        <v>112</v>
      </c>
      <c r="F241">
        <v>2019</v>
      </c>
      <c r="H241" t="s">
        <v>113</v>
      </c>
    </row>
    <row r="242" spans="1:8" x14ac:dyDescent="0.2">
      <c r="A242" t="s">
        <v>86</v>
      </c>
      <c r="B242" t="s">
        <v>13</v>
      </c>
      <c r="C242" t="s">
        <v>111</v>
      </c>
      <c r="D242" t="s">
        <v>5</v>
      </c>
      <c r="E242" t="s">
        <v>112</v>
      </c>
      <c r="F242">
        <v>2019</v>
      </c>
      <c r="G242" s="20">
        <v>13551</v>
      </c>
      <c r="H242" t="s">
        <v>121</v>
      </c>
    </row>
    <row r="243" spans="1:8" x14ac:dyDescent="0.2">
      <c r="A243" t="s">
        <v>86</v>
      </c>
      <c r="B243" t="s">
        <v>13</v>
      </c>
      <c r="C243" t="s">
        <v>111</v>
      </c>
      <c r="D243" t="s">
        <v>6</v>
      </c>
      <c r="E243" t="s">
        <v>112</v>
      </c>
      <c r="F243">
        <v>2019</v>
      </c>
      <c r="G243" s="20">
        <v>5062</v>
      </c>
      <c r="H243" t="s">
        <v>121</v>
      </c>
    </row>
    <row r="244" spans="1:8" x14ac:dyDescent="0.2">
      <c r="A244" t="s">
        <v>87</v>
      </c>
      <c r="B244" t="s">
        <v>13</v>
      </c>
      <c r="C244" t="s">
        <v>111</v>
      </c>
      <c r="D244" t="s">
        <v>5</v>
      </c>
      <c r="E244" t="s">
        <v>112</v>
      </c>
      <c r="F244">
        <v>2019</v>
      </c>
      <c r="G244" s="20">
        <v>3417</v>
      </c>
      <c r="H244" t="s">
        <v>121</v>
      </c>
    </row>
    <row r="245" spans="1:8" x14ac:dyDescent="0.2">
      <c r="A245" t="s">
        <v>87</v>
      </c>
      <c r="B245" t="s">
        <v>13</v>
      </c>
      <c r="C245" t="s">
        <v>111</v>
      </c>
      <c r="D245" t="s">
        <v>6</v>
      </c>
      <c r="E245" t="s">
        <v>112</v>
      </c>
      <c r="F245">
        <v>2019</v>
      </c>
      <c r="G245" s="19" t="s">
        <v>137</v>
      </c>
      <c r="H245" t="s">
        <v>121</v>
      </c>
    </row>
    <row r="246" spans="1:8" x14ac:dyDescent="0.2">
      <c r="A246" t="s">
        <v>88</v>
      </c>
      <c r="B246" t="s">
        <v>13</v>
      </c>
      <c r="C246" t="s">
        <v>111</v>
      </c>
      <c r="D246" t="s">
        <v>5</v>
      </c>
      <c r="E246" t="s">
        <v>112</v>
      </c>
      <c r="F246">
        <v>2019</v>
      </c>
      <c r="G246" s="20">
        <v>8166</v>
      </c>
      <c r="H246" t="s">
        <v>121</v>
      </c>
    </row>
    <row r="247" spans="1:8" x14ac:dyDescent="0.2">
      <c r="A247" t="s">
        <v>88</v>
      </c>
      <c r="B247" t="s">
        <v>13</v>
      </c>
      <c r="C247" t="s">
        <v>111</v>
      </c>
      <c r="D247" t="s">
        <v>6</v>
      </c>
      <c r="E247" t="s">
        <v>112</v>
      </c>
      <c r="F247">
        <v>2019</v>
      </c>
      <c r="G247" s="20">
        <v>4298</v>
      </c>
      <c r="H247" t="s">
        <v>121</v>
      </c>
    </row>
    <row r="248" spans="1:8" x14ac:dyDescent="0.2">
      <c r="A248" t="s">
        <v>89</v>
      </c>
      <c r="B248" t="s">
        <v>7</v>
      </c>
      <c r="C248" t="s">
        <v>111</v>
      </c>
      <c r="D248" t="s">
        <v>5</v>
      </c>
      <c r="E248" t="s">
        <v>112</v>
      </c>
      <c r="F248">
        <v>2019</v>
      </c>
      <c r="G248" s="20">
        <v>3612</v>
      </c>
      <c r="H248" t="s">
        <v>113</v>
      </c>
    </row>
    <row r="249" spans="1:8" x14ac:dyDescent="0.2">
      <c r="A249" t="s">
        <v>89</v>
      </c>
      <c r="B249" t="s">
        <v>7</v>
      </c>
      <c r="C249" t="s">
        <v>111</v>
      </c>
      <c r="D249" t="s">
        <v>6</v>
      </c>
      <c r="E249" t="s">
        <v>112</v>
      </c>
      <c r="F249">
        <v>2019</v>
      </c>
      <c r="G249" s="20">
        <v>2094</v>
      </c>
      <c r="H249" t="s">
        <v>113</v>
      </c>
    </row>
    <row r="250" spans="1:8" x14ac:dyDescent="0.2">
      <c r="A250" t="s">
        <v>90</v>
      </c>
      <c r="B250" t="s">
        <v>7</v>
      </c>
      <c r="C250" t="s">
        <v>111</v>
      </c>
      <c r="D250" t="s">
        <v>5</v>
      </c>
      <c r="E250" t="s">
        <v>112</v>
      </c>
      <c r="F250">
        <v>2019</v>
      </c>
      <c r="G250" s="20">
        <v>3695</v>
      </c>
      <c r="H250" t="s">
        <v>121</v>
      </c>
    </row>
    <row r="251" spans="1:8" x14ac:dyDescent="0.2">
      <c r="A251" t="s">
        <v>90</v>
      </c>
      <c r="B251" t="s">
        <v>7</v>
      </c>
      <c r="C251" t="s">
        <v>111</v>
      </c>
      <c r="D251" t="s">
        <v>6</v>
      </c>
      <c r="E251" t="s">
        <v>112</v>
      </c>
      <c r="F251">
        <v>2019</v>
      </c>
      <c r="G251" s="19" t="s">
        <v>143</v>
      </c>
      <c r="H251" t="s">
        <v>121</v>
      </c>
    </row>
    <row r="252" spans="1:8" x14ac:dyDescent="0.2">
      <c r="A252" t="s">
        <v>91</v>
      </c>
      <c r="B252" t="s">
        <v>13</v>
      </c>
      <c r="C252" t="s">
        <v>111</v>
      </c>
      <c r="D252" t="s">
        <v>5</v>
      </c>
      <c r="E252" t="s">
        <v>112</v>
      </c>
      <c r="F252">
        <v>2019</v>
      </c>
      <c r="G252" s="20">
        <v>155453</v>
      </c>
      <c r="H252" t="s">
        <v>121</v>
      </c>
    </row>
    <row r="253" spans="1:8" x14ac:dyDescent="0.2">
      <c r="A253" t="s">
        <v>91</v>
      </c>
      <c r="B253" t="s">
        <v>13</v>
      </c>
      <c r="C253" t="s">
        <v>111</v>
      </c>
      <c r="D253" t="s">
        <v>6</v>
      </c>
      <c r="E253" t="s">
        <v>112</v>
      </c>
      <c r="F253">
        <v>2019</v>
      </c>
      <c r="G253" s="20">
        <v>40481</v>
      </c>
      <c r="H253" t="s">
        <v>121</v>
      </c>
    </row>
    <row r="254" spans="1:8" x14ac:dyDescent="0.2">
      <c r="A254" t="s">
        <v>92</v>
      </c>
      <c r="B254" t="s">
        <v>13</v>
      </c>
      <c r="C254" t="s">
        <v>111</v>
      </c>
      <c r="D254" t="s">
        <v>5</v>
      </c>
      <c r="E254" t="s">
        <v>112</v>
      </c>
      <c r="F254">
        <v>2019</v>
      </c>
      <c r="G254" s="20">
        <v>42257</v>
      </c>
      <c r="H254" t="s">
        <v>121</v>
      </c>
    </row>
    <row r="255" spans="1:8" x14ac:dyDescent="0.2">
      <c r="A255" t="s">
        <v>92</v>
      </c>
      <c r="B255" t="s">
        <v>13</v>
      </c>
      <c r="C255" t="s">
        <v>111</v>
      </c>
      <c r="D255" t="s">
        <v>6</v>
      </c>
      <c r="E255" t="s">
        <v>112</v>
      </c>
      <c r="F255">
        <v>2019</v>
      </c>
      <c r="G255" s="20">
        <v>11951</v>
      </c>
      <c r="H255" t="s">
        <v>121</v>
      </c>
    </row>
    <row r="256" spans="1:8" x14ac:dyDescent="0.2">
      <c r="A256" t="s">
        <v>93</v>
      </c>
      <c r="B256" t="s">
        <v>13</v>
      </c>
      <c r="C256" t="s">
        <v>111</v>
      </c>
      <c r="D256" t="s">
        <v>5</v>
      </c>
      <c r="E256" t="s">
        <v>112</v>
      </c>
      <c r="F256">
        <v>2019</v>
      </c>
      <c r="G256" s="20">
        <v>215892</v>
      </c>
      <c r="H256" t="s">
        <v>121</v>
      </c>
    </row>
    <row r="257" spans="1:8" x14ac:dyDescent="0.2">
      <c r="A257" t="s">
        <v>93</v>
      </c>
      <c r="B257" t="s">
        <v>13</v>
      </c>
      <c r="C257" t="s">
        <v>111</v>
      </c>
      <c r="D257" t="s">
        <v>6</v>
      </c>
      <c r="E257" t="s">
        <v>112</v>
      </c>
      <c r="F257">
        <v>2019</v>
      </c>
      <c r="G257" s="20">
        <v>53067</v>
      </c>
      <c r="H257" t="s">
        <v>121</v>
      </c>
    </row>
    <row r="258" spans="1:8" x14ac:dyDescent="0.2">
      <c r="A258" t="s">
        <v>94</v>
      </c>
      <c r="B258" t="s">
        <v>13</v>
      </c>
      <c r="C258" t="s">
        <v>111</v>
      </c>
      <c r="D258" t="s">
        <v>5</v>
      </c>
      <c r="E258" t="s">
        <v>112</v>
      </c>
      <c r="F258">
        <v>2019</v>
      </c>
      <c r="G258" s="20">
        <v>63085</v>
      </c>
      <c r="H258" t="s">
        <v>121</v>
      </c>
    </row>
    <row r="259" spans="1:8" x14ac:dyDescent="0.2">
      <c r="A259" t="s">
        <v>94</v>
      </c>
      <c r="B259" t="s">
        <v>13</v>
      </c>
      <c r="C259" t="s">
        <v>111</v>
      </c>
      <c r="D259" t="s">
        <v>6</v>
      </c>
      <c r="E259" t="s">
        <v>112</v>
      </c>
      <c r="F259">
        <v>2019</v>
      </c>
      <c r="G259" s="19" t="s">
        <v>51</v>
      </c>
      <c r="H259" t="s">
        <v>121</v>
      </c>
    </row>
    <row r="260" spans="1:8" x14ac:dyDescent="0.2">
      <c r="A260" t="s">
        <v>95</v>
      </c>
      <c r="B260" t="s">
        <v>52</v>
      </c>
      <c r="C260" t="s">
        <v>111</v>
      </c>
      <c r="D260" t="s">
        <v>5</v>
      </c>
      <c r="E260" t="s">
        <v>112</v>
      </c>
      <c r="F260">
        <v>2019</v>
      </c>
      <c r="G260" s="20">
        <v>41254</v>
      </c>
      <c r="H260" t="s">
        <v>121</v>
      </c>
    </row>
    <row r="261" spans="1:8" x14ac:dyDescent="0.2">
      <c r="A261" t="s">
        <v>95</v>
      </c>
      <c r="B261" t="s">
        <v>52</v>
      </c>
      <c r="C261" t="s">
        <v>111</v>
      </c>
      <c r="D261" t="s">
        <v>6</v>
      </c>
      <c r="E261" t="s">
        <v>112</v>
      </c>
      <c r="F261">
        <v>2019</v>
      </c>
      <c r="G261" s="19" t="s">
        <v>53</v>
      </c>
      <c r="H261" t="s">
        <v>121</v>
      </c>
    </row>
    <row r="262" spans="1:8" x14ac:dyDescent="0.2">
      <c r="A262" t="s">
        <v>96</v>
      </c>
      <c r="B262" t="s">
        <v>7</v>
      </c>
      <c r="C262" t="s">
        <v>111</v>
      </c>
      <c r="D262" t="s">
        <v>5</v>
      </c>
      <c r="E262" t="s">
        <v>112</v>
      </c>
      <c r="F262">
        <v>2019</v>
      </c>
      <c r="G262" s="20">
        <v>21422</v>
      </c>
      <c r="H262" t="s">
        <v>113</v>
      </c>
    </row>
    <row r="263" spans="1:8" x14ac:dyDescent="0.2">
      <c r="A263" t="s">
        <v>96</v>
      </c>
      <c r="B263" t="s">
        <v>7</v>
      </c>
      <c r="C263" t="s">
        <v>111</v>
      </c>
      <c r="D263" t="s">
        <v>6</v>
      </c>
      <c r="E263" t="s">
        <v>112</v>
      </c>
      <c r="F263">
        <v>2019</v>
      </c>
      <c r="G263" s="20">
        <v>9656</v>
      </c>
      <c r="H263" t="s">
        <v>113</v>
      </c>
    </row>
    <row r="264" spans="1:8" x14ac:dyDescent="0.2">
      <c r="A264" t="s">
        <v>97</v>
      </c>
      <c r="B264" t="s">
        <v>7</v>
      </c>
      <c r="C264" t="s">
        <v>111</v>
      </c>
      <c r="D264" t="s">
        <v>5</v>
      </c>
      <c r="E264" t="s">
        <v>112</v>
      </c>
      <c r="F264">
        <v>2019</v>
      </c>
      <c r="G264" s="20">
        <v>39216</v>
      </c>
      <c r="H264" t="s">
        <v>113</v>
      </c>
    </row>
    <row r="265" spans="1:8" x14ac:dyDescent="0.2">
      <c r="A265" t="s">
        <v>97</v>
      </c>
      <c r="B265" t="s">
        <v>7</v>
      </c>
      <c r="C265" t="s">
        <v>111</v>
      </c>
      <c r="D265" t="s">
        <v>6</v>
      </c>
      <c r="E265" t="s">
        <v>112</v>
      </c>
      <c r="F265">
        <v>2019</v>
      </c>
      <c r="G265" s="20">
        <v>10247</v>
      </c>
      <c r="H265" t="s">
        <v>113</v>
      </c>
    </row>
    <row r="266" spans="1:8" x14ac:dyDescent="0.2">
      <c r="A266" t="s">
        <v>98</v>
      </c>
      <c r="B266" t="s">
        <v>7</v>
      </c>
      <c r="C266" t="s">
        <v>111</v>
      </c>
      <c r="D266" t="s">
        <v>5</v>
      </c>
      <c r="E266" t="s">
        <v>112</v>
      </c>
      <c r="F266">
        <v>2019</v>
      </c>
      <c r="G266" s="20">
        <v>13443</v>
      </c>
      <c r="H266" t="s">
        <v>121</v>
      </c>
    </row>
    <row r="267" spans="1:8" x14ac:dyDescent="0.2">
      <c r="A267" t="s">
        <v>98</v>
      </c>
      <c r="B267" t="s">
        <v>7</v>
      </c>
      <c r="C267" t="s">
        <v>111</v>
      </c>
      <c r="D267" t="s">
        <v>6</v>
      </c>
      <c r="E267" t="s">
        <v>112</v>
      </c>
      <c r="F267">
        <v>2019</v>
      </c>
      <c r="G267" s="20">
        <v>3732</v>
      </c>
      <c r="H267" t="s">
        <v>121</v>
      </c>
    </row>
    <row r="268" spans="1:8" x14ac:dyDescent="0.2">
      <c r="A268" t="s">
        <v>99</v>
      </c>
      <c r="B268" t="s">
        <v>13</v>
      </c>
      <c r="C268" t="s">
        <v>111</v>
      </c>
      <c r="D268" t="s">
        <v>5</v>
      </c>
      <c r="E268" t="s">
        <v>112</v>
      </c>
      <c r="F268">
        <v>2019</v>
      </c>
      <c r="G268" s="20">
        <v>115265</v>
      </c>
      <c r="H268" t="s">
        <v>121</v>
      </c>
    </row>
    <row r="269" spans="1:8" x14ac:dyDescent="0.2">
      <c r="A269" t="s">
        <v>99</v>
      </c>
      <c r="B269" t="s">
        <v>13</v>
      </c>
      <c r="C269" t="s">
        <v>111</v>
      </c>
      <c r="D269" t="s">
        <v>6</v>
      </c>
      <c r="E269" t="s">
        <v>112</v>
      </c>
      <c r="F269">
        <v>2019</v>
      </c>
      <c r="G269" s="20">
        <v>39293</v>
      </c>
      <c r="H269" t="s">
        <v>121</v>
      </c>
    </row>
    <row r="270" spans="1:8" x14ac:dyDescent="0.2">
      <c r="A270" t="s">
        <v>100</v>
      </c>
      <c r="B270" t="s">
        <v>7</v>
      </c>
      <c r="C270" t="s">
        <v>111</v>
      </c>
      <c r="D270" t="s">
        <v>5</v>
      </c>
      <c r="E270" t="s">
        <v>112</v>
      </c>
      <c r="F270">
        <v>2019</v>
      </c>
      <c r="G270" s="19" t="s">
        <v>61</v>
      </c>
      <c r="H270" t="s">
        <v>113</v>
      </c>
    </row>
    <row r="271" spans="1:8" x14ac:dyDescent="0.2">
      <c r="A271" t="s">
        <v>100</v>
      </c>
      <c r="B271" t="s">
        <v>7</v>
      </c>
      <c r="C271" t="s">
        <v>111</v>
      </c>
      <c r="D271" t="s">
        <v>6</v>
      </c>
      <c r="E271" t="s">
        <v>112</v>
      </c>
      <c r="F271">
        <v>2019</v>
      </c>
      <c r="G271" s="20">
        <v>27726</v>
      </c>
      <c r="H271" t="s">
        <v>113</v>
      </c>
    </row>
    <row r="272" spans="1:8" x14ac:dyDescent="0.2">
      <c r="A272" t="s">
        <v>63</v>
      </c>
      <c r="B272" t="s">
        <v>7</v>
      </c>
      <c r="C272" t="s">
        <v>111</v>
      </c>
      <c r="D272" t="s">
        <v>5</v>
      </c>
      <c r="E272" t="s">
        <v>112</v>
      </c>
      <c r="F272">
        <v>2018</v>
      </c>
      <c r="G272" s="20">
        <v>1599</v>
      </c>
      <c r="H272" t="s">
        <v>113</v>
      </c>
    </row>
    <row r="273" spans="1:8" x14ac:dyDescent="0.2">
      <c r="A273" t="s">
        <v>63</v>
      </c>
      <c r="B273" t="s">
        <v>7</v>
      </c>
      <c r="C273" t="s">
        <v>111</v>
      </c>
      <c r="D273" t="s">
        <v>6</v>
      </c>
      <c r="E273" t="s">
        <v>112</v>
      </c>
      <c r="F273">
        <v>2018</v>
      </c>
      <c r="G273" s="19" t="s">
        <v>116</v>
      </c>
      <c r="H273" t="s">
        <v>113</v>
      </c>
    </row>
    <row r="274" spans="1:8" x14ac:dyDescent="0.2">
      <c r="A274" t="s">
        <v>64</v>
      </c>
      <c r="B274" t="s">
        <v>7</v>
      </c>
      <c r="C274" t="s">
        <v>111</v>
      </c>
      <c r="D274" t="s">
        <v>5</v>
      </c>
      <c r="E274" t="s">
        <v>112</v>
      </c>
      <c r="F274">
        <v>2018</v>
      </c>
      <c r="G274" s="20">
        <v>48993</v>
      </c>
      <c r="H274" t="s">
        <v>113</v>
      </c>
    </row>
    <row r="275" spans="1:8" x14ac:dyDescent="0.2">
      <c r="A275" t="s">
        <v>64</v>
      </c>
      <c r="B275" t="s">
        <v>7</v>
      </c>
      <c r="C275" t="s">
        <v>111</v>
      </c>
      <c r="D275" t="s">
        <v>6</v>
      </c>
      <c r="E275" t="s">
        <v>112</v>
      </c>
      <c r="F275">
        <v>2018</v>
      </c>
      <c r="G275" s="20">
        <v>16616</v>
      </c>
      <c r="H275" t="s">
        <v>113</v>
      </c>
    </row>
    <row r="276" spans="1:8" x14ac:dyDescent="0.2">
      <c r="A276" t="s">
        <v>65</v>
      </c>
      <c r="B276" t="s">
        <v>13</v>
      </c>
      <c r="C276" t="s">
        <v>111</v>
      </c>
      <c r="D276" t="s">
        <v>5</v>
      </c>
      <c r="E276" t="s">
        <v>112</v>
      </c>
      <c r="F276">
        <v>2018</v>
      </c>
      <c r="G276" s="20">
        <v>75247</v>
      </c>
      <c r="H276" t="s">
        <v>121</v>
      </c>
    </row>
    <row r="277" spans="1:8" x14ac:dyDescent="0.2">
      <c r="A277" t="s">
        <v>65</v>
      </c>
      <c r="B277" t="s">
        <v>13</v>
      </c>
      <c r="C277" t="s">
        <v>111</v>
      </c>
      <c r="D277" t="s">
        <v>6</v>
      </c>
      <c r="E277" t="s">
        <v>112</v>
      </c>
      <c r="F277">
        <v>2018</v>
      </c>
      <c r="G277" s="19" t="s">
        <v>14</v>
      </c>
      <c r="H277" t="s">
        <v>121</v>
      </c>
    </row>
    <row r="278" spans="1:8" x14ac:dyDescent="0.2">
      <c r="A278" t="s">
        <v>66</v>
      </c>
      <c r="B278" t="s">
        <v>13</v>
      </c>
      <c r="C278" t="s">
        <v>111</v>
      </c>
      <c r="D278" t="s">
        <v>5</v>
      </c>
      <c r="E278" t="s">
        <v>112</v>
      </c>
      <c r="F278">
        <v>2018</v>
      </c>
      <c r="G278" s="20">
        <v>36644</v>
      </c>
      <c r="H278" t="s">
        <v>121</v>
      </c>
    </row>
    <row r="279" spans="1:8" x14ac:dyDescent="0.2">
      <c r="A279" t="s">
        <v>66</v>
      </c>
      <c r="B279" t="s">
        <v>13</v>
      </c>
      <c r="C279" t="s">
        <v>111</v>
      </c>
      <c r="D279" t="s">
        <v>6</v>
      </c>
      <c r="E279" t="s">
        <v>112</v>
      </c>
      <c r="F279">
        <v>2018</v>
      </c>
      <c r="G279" s="20">
        <v>15567</v>
      </c>
      <c r="H279" t="s">
        <v>121</v>
      </c>
    </row>
    <row r="280" spans="1:8" x14ac:dyDescent="0.2">
      <c r="A280" t="s">
        <v>67</v>
      </c>
      <c r="B280" t="s">
        <v>7</v>
      </c>
      <c r="C280" t="s">
        <v>111</v>
      </c>
      <c r="D280" t="s">
        <v>5</v>
      </c>
      <c r="E280" t="s">
        <v>112</v>
      </c>
      <c r="F280">
        <v>2018</v>
      </c>
      <c r="G280" s="20">
        <v>1509</v>
      </c>
      <c r="H280" t="s">
        <v>113</v>
      </c>
    </row>
    <row r="281" spans="1:8" x14ac:dyDescent="0.2">
      <c r="A281" t="s">
        <v>67</v>
      </c>
      <c r="B281" t="s">
        <v>7</v>
      </c>
      <c r="C281" t="s">
        <v>111</v>
      </c>
      <c r="D281" t="s">
        <v>6</v>
      </c>
      <c r="E281" t="s">
        <v>112</v>
      </c>
      <c r="F281">
        <v>2018</v>
      </c>
      <c r="H281" t="s">
        <v>113</v>
      </c>
    </row>
    <row r="282" spans="1:8" x14ac:dyDescent="0.2">
      <c r="A282" t="s">
        <v>68</v>
      </c>
      <c r="B282" t="s">
        <v>7</v>
      </c>
      <c r="C282" t="s">
        <v>111</v>
      </c>
      <c r="D282" t="s">
        <v>5</v>
      </c>
      <c r="E282" t="s">
        <v>112</v>
      </c>
      <c r="F282">
        <v>2018</v>
      </c>
      <c r="G282" s="20">
        <v>30063</v>
      </c>
      <c r="H282" t="s">
        <v>126</v>
      </c>
    </row>
    <row r="283" spans="1:8" x14ac:dyDescent="0.2">
      <c r="A283" t="s">
        <v>68</v>
      </c>
      <c r="B283" t="s">
        <v>7</v>
      </c>
      <c r="C283" t="s">
        <v>111</v>
      </c>
      <c r="D283" t="s">
        <v>6</v>
      </c>
      <c r="E283" t="s">
        <v>112</v>
      </c>
      <c r="F283">
        <v>2018</v>
      </c>
      <c r="G283" s="20">
        <v>16589</v>
      </c>
      <c r="H283" t="s">
        <v>126</v>
      </c>
    </row>
    <row r="284" spans="1:8" x14ac:dyDescent="0.2">
      <c r="A284" t="s">
        <v>69</v>
      </c>
      <c r="B284" t="s">
        <v>7</v>
      </c>
      <c r="C284" t="s">
        <v>111</v>
      </c>
      <c r="D284" t="s">
        <v>5</v>
      </c>
      <c r="E284" t="s">
        <v>112</v>
      </c>
      <c r="F284">
        <v>2018</v>
      </c>
      <c r="G284" s="20">
        <v>73975</v>
      </c>
      <c r="H284" t="s">
        <v>113</v>
      </c>
    </row>
    <row r="285" spans="1:8" x14ac:dyDescent="0.2">
      <c r="A285" t="s">
        <v>69</v>
      </c>
      <c r="B285" t="s">
        <v>7</v>
      </c>
      <c r="C285" t="s">
        <v>111</v>
      </c>
      <c r="D285" t="s">
        <v>6</v>
      </c>
      <c r="E285" t="s">
        <v>112</v>
      </c>
      <c r="F285">
        <v>2018</v>
      </c>
      <c r="G285" s="20">
        <v>15939</v>
      </c>
      <c r="H285" t="s">
        <v>113</v>
      </c>
    </row>
    <row r="286" spans="1:8" x14ac:dyDescent="0.2">
      <c r="A286" t="s">
        <v>71</v>
      </c>
      <c r="B286" t="s">
        <v>17</v>
      </c>
      <c r="C286" t="s">
        <v>111</v>
      </c>
      <c r="D286" t="s">
        <v>5</v>
      </c>
      <c r="E286" t="s">
        <v>112</v>
      </c>
      <c r="F286">
        <v>2018</v>
      </c>
      <c r="G286" s="20">
        <v>79695</v>
      </c>
      <c r="H286" t="s">
        <v>113</v>
      </c>
    </row>
    <row r="287" spans="1:8" x14ac:dyDescent="0.2">
      <c r="A287" t="s">
        <v>71</v>
      </c>
      <c r="B287" t="s">
        <v>17</v>
      </c>
      <c r="C287" t="s">
        <v>111</v>
      </c>
      <c r="D287" t="s">
        <v>6</v>
      </c>
      <c r="E287" t="s">
        <v>112</v>
      </c>
      <c r="F287">
        <v>2018</v>
      </c>
      <c r="G287" s="20">
        <v>14454</v>
      </c>
      <c r="H287" t="s">
        <v>113</v>
      </c>
    </row>
    <row r="288" spans="1:8" x14ac:dyDescent="0.2">
      <c r="A288" t="s">
        <v>72</v>
      </c>
      <c r="B288" t="s">
        <v>13</v>
      </c>
      <c r="C288" t="s">
        <v>111</v>
      </c>
      <c r="D288" t="s">
        <v>5</v>
      </c>
      <c r="E288" t="s">
        <v>112</v>
      </c>
      <c r="F288">
        <v>2018</v>
      </c>
      <c r="G288" s="19" t="s">
        <v>19</v>
      </c>
      <c r="H288" t="s">
        <v>121</v>
      </c>
    </row>
    <row r="289" spans="1:8" x14ac:dyDescent="0.2">
      <c r="A289" t="s">
        <v>72</v>
      </c>
      <c r="B289" t="s">
        <v>13</v>
      </c>
      <c r="C289" t="s">
        <v>111</v>
      </c>
      <c r="D289" t="s">
        <v>6</v>
      </c>
      <c r="E289" t="s">
        <v>112</v>
      </c>
      <c r="F289">
        <v>2018</v>
      </c>
      <c r="G289" s="20">
        <v>136964</v>
      </c>
      <c r="H289" t="s">
        <v>121</v>
      </c>
    </row>
    <row r="290" spans="1:8" x14ac:dyDescent="0.2">
      <c r="A290" t="s">
        <v>73</v>
      </c>
      <c r="B290" t="s">
        <v>13</v>
      </c>
      <c r="C290" t="s">
        <v>111</v>
      </c>
      <c r="D290" t="s">
        <v>5</v>
      </c>
      <c r="E290" t="s">
        <v>112</v>
      </c>
      <c r="F290">
        <v>2018</v>
      </c>
      <c r="G290" s="20">
        <v>43365</v>
      </c>
      <c r="H290" t="s">
        <v>121</v>
      </c>
    </row>
    <row r="291" spans="1:8" x14ac:dyDescent="0.2">
      <c r="A291" t="s">
        <v>73</v>
      </c>
      <c r="B291" t="s">
        <v>13</v>
      </c>
      <c r="C291" t="s">
        <v>111</v>
      </c>
      <c r="D291" t="s">
        <v>6</v>
      </c>
      <c r="E291" t="s">
        <v>112</v>
      </c>
      <c r="F291">
        <v>2018</v>
      </c>
      <c r="G291" s="20">
        <v>10598</v>
      </c>
      <c r="H291" t="s">
        <v>121</v>
      </c>
    </row>
    <row r="292" spans="1:8" x14ac:dyDescent="0.2">
      <c r="A292" t="s">
        <v>74</v>
      </c>
      <c r="B292" t="s">
        <v>13</v>
      </c>
      <c r="C292" t="s">
        <v>111</v>
      </c>
      <c r="D292" t="s">
        <v>5</v>
      </c>
      <c r="E292" t="s">
        <v>112</v>
      </c>
      <c r="F292">
        <v>2018</v>
      </c>
      <c r="G292" s="20">
        <v>242437</v>
      </c>
      <c r="H292" t="s">
        <v>121</v>
      </c>
    </row>
    <row r="293" spans="1:8" x14ac:dyDescent="0.2">
      <c r="A293" t="s">
        <v>74</v>
      </c>
      <c r="B293" t="s">
        <v>13</v>
      </c>
      <c r="C293" t="s">
        <v>111</v>
      </c>
      <c r="D293" t="s">
        <v>6</v>
      </c>
      <c r="E293" t="s">
        <v>112</v>
      </c>
      <c r="F293">
        <v>2018</v>
      </c>
      <c r="G293" s="20">
        <v>69248</v>
      </c>
      <c r="H293" t="s">
        <v>121</v>
      </c>
    </row>
    <row r="294" spans="1:8" x14ac:dyDescent="0.2">
      <c r="A294" t="s">
        <v>75</v>
      </c>
      <c r="B294" t="s">
        <v>7</v>
      </c>
      <c r="C294" t="s">
        <v>111</v>
      </c>
      <c r="D294" t="s">
        <v>5</v>
      </c>
      <c r="E294" t="s">
        <v>112</v>
      </c>
      <c r="F294">
        <v>2018</v>
      </c>
      <c r="G294" s="20">
        <v>12572</v>
      </c>
      <c r="H294" t="s">
        <v>121</v>
      </c>
    </row>
    <row r="295" spans="1:8" x14ac:dyDescent="0.2">
      <c r="A295" t="s">
        <v>75</v>
      </c>
      <c r="B295" t="s">
        <v>7</v>
      </c>
      <c r="C295" t="s">
        <v>111</v>
      </c>
      <c r="D295" t="s">
        <v>6</v>
      </c>
      <c r="E295" t="s">
        <v>112</v>
      </c>
      <c r="F295">
        <v>2018</v>
      </c>
      <c r="G295" s="20">
        <v>4489</v>
      </c>
      <c r="H295" t="s">
        <v>121</v>
      </c>
    </row>
    <row r="296" spans="1:8" x14ac:dyDescent="0.2">
      <c r="A296" t="s">
        <v>76</v>
      </c>
      <c r="B296" t="s">
        <v>13</v>
      </c>
      <c r="C296" t="s">
        <v>111</v>
      </c>
      <c r="D296" t="s">
        <v>5</v>
      </c>
      <c r="E296" t="s">
        <v>112</v>
      </c>
      <c r="F296">
        <v>2018</v>
      </c>
      <c r="G296" s="20">
        <v>52096</v>
      </c>
      <c r="H296" t="s">
        <v>121</v>
      </c>
    </row>
    <row r="297" spans="1:8" x14ac:dyDescent="0.2">
      <c r="A297" t="s">
        <v>76</v>
      </c>
      <c r="B297" t="s">
        <v>13</v>
      </c>
      <c r="C297" t="s">
        <v>111</v>
      </c>
      <c r="D297" t="s">
        <v>6</v>
      </c>
      <c r="E297" t="s">
        <v>112</v>
      </c>
      <c r="F297">
        <v>2018</v>
      </c>
      <c r="G297" s="19" t="s">
        <v>26</v>
      </c>
      <c r="H297" t="s">
        <v>121</v>
      </c>
    </row>
    <row r="298" spans="1:8" x14ac:dyDescent="0.2">
      <c r="A298" t="s">
        <v>77</v>
      </c>
      <c r="B298" t="s">
        <v>4</v>
      </c>
      <c r="C298" t="s">
        <v>111</v>
      </c>
      <c r="D298" t="s">
        <v>5</v>
      </c>
      <c r="E298" t="s">
        <v>112</v>
      </c>
      <c r="F298">
        <v>2018</v>
      </c>
      <c r="G298" s="20">
        <v>298967</v>
      </c>
      <c r="H298" t="s">
        <v>113</v>
      </c>
    </row>
    <row r="299" spans="1:8" x14ac:dyDescent="0.2">
      <c r="A299" t="s">
        <v>77</v>
      </c>
      <c r="B299" t="s">
        <v>4</v>
      </c>
      <c r="C299" t="s">
        <v>111</v>
      </c>
      <c r="D299" t="s">
        <v>6</v>
      </c>
      <c r="E299" t="s">
        <v>112</v>
      </c>
      <c r="F299">
        <v>2018</v>
      </c>
      <c r="G299" s="20">
        <v>94095</v>
      </c>
      <c r="H299" t="s">
        <v>113</v>
      </c>
    </row>
    <row r="300" spans="1:8" x14ac:dyDescent="0.2">
      <c r="A300" t="s">
        <v>78</v>
      </c>
      <c r="B300" t="s">
        <v>7</v>
      </c>
      <c r="C300" t="s">
        <v>111</v>
      </c>
      <c r="D300" t="s">
        <v>5</v>
      </c>
      <c r="E300" t="s">
        <v>112</v>
      </c>
      <c r="F300">
        <v>2018</v>
      </c>
      <c r="G300" s="20">
        <v>562052</v>
      </c>
      <c r="H300" t="s">
        <v>113</v>
      </c>
    </row>
    <row r="301" spans="1:8" x14ac:dyDescent="0.2">
      <c r="A301" t="s">
        <v>78</v>
      </c>
      <c r="B301" t="s">
        <v>7</v>
      </c>
      <c r="C301" t="s">
        <v>111</v>
      </c>
      <c r="D301" t="s">
        <v>6</v>
      </c>
      <c r="E301" t="s">
        <v>112</v>
      </c>
      <c r="F301">
        <v>2018</v>
      </c>
      <c r="G301" s="20">
        <v>147923</v>
      </c>
      <c r="H301" t="s">
        <v>113</v>
      </c>
    </row>
    <row r="302" spans="1:8" x14ac:dyDescent="0.2">
      <c r="A302" t="s">
        <v>79</v>
      </c>
      <c r="B302" t="s">
        <v>7</v>
      </c>
      <c r="C302" t="s">
        <v>111</v>
      </c>
      <c r="D302" t="s">
        <v>5</v>
      </c>
      <c r="E302" t="s">
        <v>112</v>
      </c>
      <c r="F302">
        <v>2018</v>
      </c>
      <c r="G302" s="20">
        <v>20333</v>
      </c>
      <c r="H302" t="s">
        <v>113</v>
      </c>
    </row>
    <row r="303" spans="1:8" x14ac:dyDescent="0.2">
      <c r="A303" t="s">
        <v>79</v>
      </c>
      <c r="B303" t="s">
        <v>7</v>
      </c>
      <c r="C303" t="s">
        <v>111</v>
      </c>
      <c r="D303" t="s">
        <v>6</v>
      </c>
      <c r="E303" t="s">
        <v>112</v>
      </c>
      <c r="F303">
        <v>2018</v>
      </c>
      <c r="G303" s="20">
        <v>5709</v>
      </c>
      <c r="H303" t="s">
        <v>113</v>
      </c>
    </row>
    <row r="304" spans="1:8" x14ac:dyDescent="0.2">
      <c r="A304" t="s">
        <v>80</v>
      </c>
      <c r="B304" t="s">
        <v>13</v>
      </c>
      <c r="C304" t="s">
        <v>111</v>
      </c>
      <c r="D304" t="s">
        <v>5</v>
      </c>
      <c r="E304" t="s">
        <v>112</v>
      </c>
      <c r="F304">
        <v>2018</v>
      </c>
      <c r="G304" s="20">
        <v>19145</v>
      </c>
      <c r="H304" t="s">
        <v>121</v>
      </c>
    </row>
    <row r="305" spans="1:8" x14ac:dyDescent="0.2">
      <c r="A305" t="s">
        <v>80</v>
      </c>
      <c r="B305" t="s">
        <v>13</v>
      </c>
      <c r="C305" t="s">
        <v>111</v>
      </c>
      <c r="D305" t="s">
        <v>6</v>
      </c>
      <c r="E305" t="s">
        <v>112</v>
      </c>
      <c r="F305">
        <v>2018</v>
      </c>
      <c r="G305" s="19" t="s">
        <v>35</v>
      </c>
      <c r="H305" t="s">
        <v>121</v>
      </c>
    </row>
    <row r="306" spans="1:8" x14ac:dyDescent="0.2">
      <c r="A306" t="s">
        <v>81</v>
      </c>
      <c r="B306" t="s">
        <v>7</v>
      </c>
      <c r="C306" t="s">
        <v>111</v>
      </c>
      <c r="D306" t="s">
        <v>5</v>
      </c>
      <c r="E306" t="s">
        <v>112</v>
      </c>
      <c r="F306">
        <v>2018</v>
      </c>
      <c r="G306" s="20">
        <v>47497</v>
      </c>
      <c r="H306" t="s">
        <v>121</v>
      </c>
    </row>
    <row r="307" spans="1:8" x14ac:dyDescent="0.2">
      <c r="A307" t="s">
        <v>81</v>
      </c>
      <c r="B307" t="s">
        <v>7</v>
      </c>
      <c r="C307" t="s">
        <v>111</v>
      </c>
      <c r="D307" t="s">
        <v>6</v>
      </c>
      <c r="E307" t="s">
        <v>112</v>
      </c>
      <c r="F307">
        <v>2018</v>
      </c>
      <c r="G307" s="20">
        <v>9888</v>
      </c>
      <c r="H307" t="s">
        <v>121</v>
      </c>
    </row>
    <row r="308" spans="1:8" x14ac:dyDescent="0.2">
      <c r="A308" t="s">
        <v>82</v>
      </c>
      <c r="B308" t="s">
        <v>13</v>
      </c>
      <c r="C308" t="s">
        <v>111</v>
      </c>
      <c r="D308" t="s">
        <v>5</v>
      </c>
      <c r="E308" t="s">
        <v>112</v>
      </c>
      <c r="F308">
        <v>2018</v>
      </c>
      <c r="G308" s="20">
        <v>55271</v>
      </c>
      <c r="H308" t="s">
        <v>121</v>
      </c>
    </row>
    <row r="309" spans="1:8" x14ac:dyDescent="0.2">
      <c r="A309" t="s">
        <v>82</v>
      </c>
      <c r="B309" t="s">
        <v>13</v>
      </c>
      <c r="C309" t="s">
        <v>111</v>
      </c>
      <c r="D309" t="s">
        <v>6</v>
      </c>
      <c r="E309" t="s">
        <v>112</v>
      </c>
      <c r="F309">
        <v>2018</v>
      </c>
      <c r="G309" s="20">
        <v>22071</v>
      </c>
      <c r="H309" t="s">
        <v>121</v>
      </c>
    </row>
    <row r="310" spans="1:8" x14ac:dyDescent="0.2">
      <c r="A310" t="s">
        <v>83</v>
      </c>
      <c r="B310" t="s">
        <v>13</v>
      </c>
      <c r="C310" t="s">
        <v>111</v>
      </c>
      <c r="D310" t="s">
        <v>5</v>
      </c>
      <c r="E310" t="s">
        <v>112</v>
      </c>
      <c r="F310">
        <v>2018</v>
      </c>
      <c r="G310" s="20">
        <v>3693</v>
      </c>
      <c r="H310" t="s">
        <v>121</v>
      </c>
    </row>
    <row r="311" spans="1:8" x14ac:dyDescent="0.2">
      <c r="A311" t="s">
        <v>83</v>
      </c>
      <c r="B311" t="s">
        <v>13</v>
      </c>
      <c r="C311" t="s">
        <v>111</v>
      </c>
      <c r="D311" t="s">
        <v>6</v>
      </c>
      <c r="E311" t="s">
        <v>112</v>
      </c>
      <c r="F311">
        <v>2018</v>
      </c>
      <c r="G311" s="20">
        <v>1057</v>
      </c>
      <c r="H311" t="s">
        <v>121</v>
      </c>
    </row>
    <row r="312" spans="1:8" x14ac:dyDescent="0.2">
      <c r="A312" t="s">
        <v>84</v>
      </c>
      <c r="B312" t="s">
        <v>13</v>
      </c>
      <c r="C312" t="s">
        <v>111</v>
      </c>
      <c r="D312" t="s">
        <v>5</v>
      </c>
      <c r="E312" t="s">
        <v>112</v>
      </c>
      <c r="F312">
        <v>2018</v>
      </c>
      <c r="G312" s="20">
        <v>239072</v>
      </c>
      <c r="H312" t="s">
        <v>121</v>
      </c>
    </row>
    <row r="313" spans="1:8" x14ac:dyDescent="0.2">
      <c r="A313" t="s">
        <v>84</v>
      </c>
      <c r="B313" t="s">
        <v>13</v>
      </c>
      <c r="C313" t="s">
        <v>111</v>
      </c>
      <c r="D313" t="s">
        <v>6</v>
      </c>
      <c r="E313" t="s">
        <v>112</v>
      </c>
      <c r="F313">
        <v>2018</v>
      </c>
      <c r="G313" s="20">
        <v>75575</v>
      </c>
      <c r="H313" t="s">
        <v>121</v>
      </c>
    </row>
    <row r="314" spans="1:8" x14ac:dyDescent="0.2">
      <c r="A314" t="s">
        <v>85</v>
      </c>
      <c r="B314" t="s">
        <v>7</v>
      </c>
      <c r="C314" t="s">
        <v>111</v>
      </c>
      <c r="D314" t="s">
        <v>5</v>
      </c>
      <c r="E314" t="s">
        <v>112</v>
      </c>
      <c r="F314">
        <v>2018</v>
      </c>
      <c r="G314" s="19" t="s">
        <v>131</v>
      </c>
      <c r="H314" t="s">
        <v>113</v>
      </c>
    </row>
    <row r="315" spans="1:8" x14ac:dyDescent="0.2">
      <c r="A315" t="s">
        <v>85</v>
      </c>
      <c r="B315" t="s">
        <v>7</v>
      </c>
      <c r="C315" t="s">
        <v>111</v>
      </c>
      <c r="D315" t="s">
        <v>6</v>
      </c>
      <c r="E315" t="s">
        <v>112</v>
      </c>
      <c r="F315">
        <v>2018</v>
      </c>
      <c r="H315" t="s">
        <v>113</v>
      </c>
    </row>
    <row r="316" spans="1:8" x14ac:dyDescent="0.2">
      <c r="A316" t="s">
        <v>86</v>
      </c>
      <c r="B316" t="s">
        <v>13</v>
      </c>
      <c r="C316" t="s">
        <v>111</v>
      </c>
      <c r="D316" t="s">
        <v>5</v>
      </c>
      <c r="E316" t="s">
        <v>112</v>
      </c>
      <c r="F316">
        <v>2018</v>
      </c>
      <c r="G316" s="20">
        <v>10322</v>
      </c>
      <c r="H316" t="s">
        <v>121</v>
      </c>
    </row>
    <row r="317" spans="1:8" x14ac:dyDescent="0.2">
      <c r="A317" t="s">
        <v>86</v>
      </c>
      <c r="B317" t="s">
        <v>13</v>
      </c>
      <c r="C317" t="s">
        <v>111</v>
      </c>
      <c r="D317" t="s">
        <v>6</v>
      </c>
      <c r="E317" t="s">
        <v>112</v>
      </c>
      <c r="F317">
        <v>2018</v>
      </c>
      <c r="G317" s="20">
        <v>4562</v>
      </c>
      <c r="H317" t="s">
        <v>121</v>
      </c>
    </row>
    <row r="318" spans="1:8" x14ac:dyDescent="0.2">
      <c r="A318" t="s">
        <v>87</v>
      </c>
      <c r="B318" t="s">
        <v>13</v>
      </c>
      <c r="C318" t="s">
        <v>111</v>
      </c>
      <c r="D318" t="s">
        <v>5</v>
      </c>
      <c r="E318" t="s">
        <v>112</v>
      </c>
      <c r="F318">
        <v>2018</v>
      </c>
      <c r="G318" s="20">
        <v>3392</v>
      </c>
      <c r="H318" t="s">
        <v>121</v>
      </c>
    </row>
    <row r="319" spans="1:8" x14ac:dyDescent="0.2">
      <c r="A319" t="s">
        <v>87</v>
      </c>
      <c r="B319" t="s">
        <v>13</v>
      </c>
      <c r="C319" t="s">
        <v>111</v>
      </c>
      <c r="D319" t="s">
        <v>6</v>
      </c>
      <c r="E319" t="s">
        <v>112</v>
      </c>
      <c r="F319">
        <v>2018</v>
      </c>
      <c r="G319" s="20">
        <v>1049</v>
      </c>
      <c r="H319" t="s">
        <v>121</v>
      </c>
    </row>
    <row r="320" spans="1:8" x14ac:dyDescent="0.2">
      <c r="A320" t="s">
        <v>88</v>
      </c>
      <c r="B320" t="s">
        <v>13</v>
      </c>
      <c r="C320" t="s">
        <v>111</v>
      </c>
      <c r="D320" t="s">
        <v>5</v>
      </c>
      <c r="E320" t="s">
        <v>112</v>
      </c>
      <c r="F320">
        <v>2018</v>
      </c>
      <c r="G320" s="20">
        <v>9332</v>
      </c>
      <c r="H320" t="s">
        <v>121</v>
      </c>
    </row>
    <row r="321" spans="1:8" x14ac:dyDescent="0.2">
      <c r="A321" t="s">
        <v>88</v>
      </c>
      <c r="B321" t="s">
        <v>13</v>
      </c>
      <c r="C321" t="s">
        <v>111</v>
      </c>
      <c r="D321" t="s">
        <v>6</v>
      </c>
      <c r="E321" t="s">
        <v>112</v>
      </c>
      <c r="F321">
        <v>2018</v>
      </c>
      <c r="G321" s="20">
        <v>3683</v>
      </c>
      <c r="H321" t="s">
        <v>121</v>
      </c>
    </row>
    <row r="322" spans="1:8" x14ac:dyDescent="0.2">
      <c r="A322" t="s">
        <v>89</v>
      </c>
      <c r="B322" t="s">
        <v>7</v>
      </c>
      <c r="C322" t="s">
        <v>111</v>
      </c>
      <c r="D322" t="s">
        <v>5</v>
      </c>
      <c r="E322" t="s">
        <v>112</v>
      </c>
      <c r="F322">
        <v>2018</v>
      </c>
      <c r="G322" s="20">
        <v>3038</v>
      </c>
      <c r="H322" t="s">
        <v>113</v>
      </c>
    </row>
    <row r="323" spans="1:8" x14ac:dyDescent="0.2">
      <c r="A323" t="s">
        <v>89</v>
      </c>
      <c r="B323" t="s">
        <v>7</v>
      </c>
      <c r="C323" t="s">
        <v>111</v>
      </c>
      <c r="D323" t="s">
        <v>6</v>
      </c>
      <c r="E323" t="s">
        <v>112</v>
      </c>
      <c r="F323">
        <v>2018</v>
      </c>
      <c r="G323" s="20">
        <v>1613</v>
      </c>
      <c r="H323" t="s">
        <v>113</v>
      </c>
    </row>
    <row r="324" spans="1:8" x14ac:dyDescent="0.2">
      <c r="A324" t="s">
        <v>90</v>
      </c>
      <c r="B324" t="s">
        <v>7</v>
      </c>
      <c r="C324" t="s">
        <v>111</v>
      </c>
      <c r="D324" t="s">
        <v>5</v>
      </c>
      <c r="E324" t="s">
        <v>112</v>
      </c>
      <c r="F324">
        <v>2018</v>
      </c>
      <c r="G324" s="19" t="s">
        <v>46</v>
      </c>
      <c r="H324" t="s">
        <v>121</v>
      </c>
    </row>
    <row r="325" spans="1:8" x14ac:dyDescent="0.2">
      <c r="A325" t="s">
        <v>90</v>
      </c>
      <c r="B325" t="s">
        <v>7</v>
      </c>
      <c r="C325" t="s">
        <v>111</v>
      </c>
      <c r="D325" t="s">
        <v>6</v>
      </c>
      <c r="E325" t="s">
        <v>112</v>
      </c>
      <c r="F325">
        <v>2018</v>
      </c>
      <c r="G325" s="19" t="s">
        <v>144</v>
      </c>
      <c r="H325" t="s">
        <v>121</v>
      </c>
    </row>
    <row r="326" spans="1:8" x14ac:dyDescent="0.2">
      <c r="A326" t="s">
        <v>91</v>
      </c>
      <c r="B326" t="s">
        <v>13</v>
      </c>
      <c r="C326" t="s">
        <v>111</v>
      </c>
      <c r="D326" t="s">
        <v>5</v>
      </c>
      <c r="E326" t="s">
        <v>112</v>
      </c>
      <c r="F326">
        <v>2018</v>
      </c>
      <c r="G326" s="20">
        <v>144402</v>
      </c>
      <c r="H326" t="s">
        <v>121</v>
      </c>
    </row>
    <row r="327" spans="1:8" x14ac:dyDescent="0.2">
      <c r="A327" t="s">
        <v>91</v>
      </c>
      <c r="B327" t="s">
        <v>13</v>
      </c>
      <c r="C327" t="s">
        <v>111</v>
      </c>
      <c r="D327" t="s">
        <v>6</v>
      </c>
      <c r="E327" t="s">
        <v>112</v>
      </c>
      <c r="F327">
        <v>2018</v>
      </c>
      <c r="G327" s="20">
        <v>32252</v>
      </c>
      <c r="H327" t="s">
        <v>121</v>
      </c>
    </row>
    <row r="328" spans="1:8" x14ac:dyDescent="0.2">
      <c r="A328" t="s">
        <v>92</v>
      </c>
      <c r="B328" t="s">
        <v>13</v>
      </c>
      <c r="C328" t="s">
        <v>111</v>
      </c>
      <c r="D328" t="s">
        <v>5</v>
      </c>
      <c r="E328" t="s">
        <v>112</v>
      </c>
      <c r="F328">
        <v>2018</v>
      </c>
      <c r="G328" s="20">
        <v>38553</v>
      </c>
      <c r="H328" t="s">
        <v>121</v>
      </c>
    </row>
    <row r="329" spans="1:8" x14ac:dyDescent="0.2">
      <c r="A329" t="s">
        <v>92</v>
      </c>
      <c r="B329" t="s">
        <v>13</v>
      </c>
      <c r="C329" t="s">
        <v>111</v>
      </c>
      <c r="D329" t="s">
        <v>6</v>
      </c>
      <c r="E329" t="s">
        <v>112</v>
      </c>
      <c r="F329">
        <v>2018</v>
      </c>
      <c r="G329" s="20">
        <v>11219</v>
      </c>
      <c r="H329" t="s">
        <v>121</v>
      </c>
    </row>
    <row r="330" spans="1:8" x14ac:dyDescent="0.2">
      <c r="A330" t="s">
        <v>93</v>
      </c>
      <c r="B330" t="s">
        <v>13</v>
      </c>
      <c r="C330" t="s">
        <v>111</v>
      </c>
      <c r="D330" t="s">
        <v>5</v>
      </c>
      <c r="E330" t="s">
        <v>112</v>
      </c>
      <c r="F330">
        <v>2018</v>
      </c>
      <c r="G330" s="20">
        <v>179047</v>
      </c>
      <c r="H330" t="s">
        <v>121</v>
      </c>
    </row>
    <row r="331" spans="1:8" x14ac:dyDescent="0.2">
      <c r="A331" t="s">
        <v>93</v>
      </c>
      <c r="B331" t="s">
        <v>13</v>
      </c>
      <c r="C331" t="s">
        <v>111</v>
      </c>
      <c r="D331" t="s">
        <v>6</v>
      </c>
      <c r="E331" t="s">
        <v>112</v>
      </c>
      <c r="F331">
        <v>2018</v>
      </c>
      <c r="G331" s="19" t="s">
        <v>50</v>
      </c>
      <c r="H331" t="s">
        <v>121</v>
      </c>
    </row>
    <row r="332" spans="1:8" x14ac:dyDescent="0.2">
      <c r="A332" t="s">
        <v>94</v>
      </c>
      <c r="B332" t="s">
        <v>13</v>
      </c>
      <c r="C332" t="s">
        <v>111</v>
      </c>
      <c r="D332" t="s">
        <v>5</v>
      </c>
      <c r="E332" t="s">
        <v>112</v>
      </c>
      <c r="F332">
        <v>2018</v>
      </c>
      <c r="G332" s="20">
        <v>55648</v>
      </c>
      <c r="H332" t="s">
        <v>121</v>
      </c>
    </row>
    <row r="333" spans="1:8" x14ac:dyDescent="0.2">
      <c r="A333" t="s">
        <v>94</v>
      </c>
      <c r="B333" t="s">
        <v>13</v>
      </c>
      <c r="C333" t="s">
        <v>111</v>
      </c>
      <c r="D333" t="s">
        <v>6</v>
      </c>
      <c r="E333" t="s">
        <v>112</v>
      </c>
      <c r="F333">
        <v>2018</v>
      </c>
      <c r="G333" s="20">
        <v>13947</v>
      </c>
      <c r="H333" t="s">
        <v>121</v>
      </c>
    </row>
    <row r="334" spans="1:8" x14ac:dyDescent="0.2">
      <c r="A334" t="s">
        <v>95</v>
      </c>
      <c r="B334" t="s">
        <v>52</v>
      </c>
      <c r="C334" t="s">
        <v>111</v>
      </c>
      <c r="D334" t="s">
        <v>5</v>
      </c>
      <c r="E334" t="s">
        <v>112</v>
      </c>
      <c r="F334">
        <v>2018</v>
      </c>
      <c r="G334" s="20">
        <v>26222</v>
      </c>
      <c r="H334" t="s">
        <v>121</v>
      </c>
    </row>
    <row r="335" spans="1:8" x14ac:dyDescent="0.2">
      <c r="A335" t="s">
        <v>95</v>
      </c>
      <c r="B335" t="s">
        <v>52</v>
      </c>
      <c r="C335" t="s">
        <v>111</v>
      </c>
      <c r="D335" t="s">
        <v>6</v>
      </c>
      <c r="E335" t="s">
        <v>112</v>
      </c>
      <c r="F335">
        <v>2018</v>
      </c>
      <c r="G335" s="20">
        <v>9767</v>
      </c>
      <c r="H335" t="s">
        <v>121</v>
      </c>
    </row>
    <row r="336" spans="1:8" x14ac:dyDescent="0.2">
      <c r="A336" t="s">
        <v>96</v>
      </c>
      <c r="B336" t="s">
        <v>7</v>
      </c>
      <c r="C336" t="s">
        <v>111</v>
      </c>
      <c r="D336" t="s">
        <v>5</v>
      </c>
      <c r="E336" t="s">
        <v>112</v>
      </c>
      <c r="F336">
        <v>2018</v>
      </c>
      <c r="G336" s="20">
        <v>17956</v>
      </c>
      <c r="H336" t="s">
        <v>113</v>
      </c>
    </row>
    <row r="337" spans="1:8" x14ac:dyDescent="0.2">
      <c r="A337" t="s">
        <v>96</v>
      </c>
      <c r="B337" t="s">
        <v>7</v>
      </c>
      <c r="C337" t="s">
        <v>111</v>
      </c>
      <c r="D337" t="s">
        <v>6</v>
      </c>
      <c r="E337" t="s">
        <v>112</v>
      </c>
      <c r="F337">
        <v>2018</v>
      </c>
      <c r="G337" s="20">
        <v>7259</v>
      </c>
      <c r="H337" t="s">
        <v>113</v>
      </c>
    </row>
    <row r="338" spans="1:8" x14ac:dyDescent="0.2">
      <c r="A338" t="s">
        <v>97</v>
      </c>
      <c r="B338" t="s">
        <v>7</v>
      </c>
      <c r="C338" t="s">
        <v>111</v>
      </c>
      <c r="D338" t="s">
        <v>5</v>
      </c>
      <c r="E338" t="s">
        <v>112</v>
      </c>
      <c r="F338">
        <v>2018</v>
      </c>
      <c r="G338" s="20">
        <v>35113</v>
      </c>
      <c r="H338" t="s">
        <v>113</v>
      </c>
    </row>
    <row r="339" spans="1:8" x14ac:dyDescent="0.2">
      <c r="A339" t="s">
        <v>97</v>
      </c>
      <c r="B339" t="s">
        <v>7</v>
      </c>
      <c r="C339" t="s">
        <v>111</v>
      </c>
      <c r="D339" t="s">
        <v>6</v>
      </c>
      <c r="E339" t="s">
        <v>112</v>
      </c>
      <c r="F339">
        <v>2018</v>
      </c>
      <c r="G339" s="20">
        <v>6754</v>
      </c>
      <c r="H339" t="s">
        <v>113</v>
      </c>
    </row>
    <row r="340" spans="1:8" x14ac:dyDescent="0.2">
      <c r="A340" t="s">
        <v>98</v>
      </c>
      <c r="B340" t="s">
        <v>7</v>
      </c>
      <c r="C340" t="s">
        <v>111</v>
      </c>
      <c r="D340" t="s">
        <v>5</v>
      </c>
      <c r="E340" t="s">
        <v>112</v>
      </c>
      <c r="F340">
        <v>2018</v>
      </c>
      <c r="G340" s="20">
        <v>14068</v>
      </c>
      <c r="H340" t="s">
        <v>121</v>
      </c>
    </row>
    <row r="341" spans="1:8" x14ac:dyDescent="0.2">
      <c r="A341" t="s">
        <v>98</v>
      </c>
      <c r="B341" t="s">
        <v>7</v>
      </c>
      <c r="C341" t="s">
        <v>111</v>
      </c>
      <c r="D341" t="s">
        <v>6</v>
      </c>
      <c r="E341" t="s">
        <v>112</v>
      </c>
      <c r="F341">
        <v>2018</v>
      </c>
      <c r="G341" s="20">
        <v>4087</v>
      </c>
      <c r="H341" t="s">
        <v>121</v>
      </c>
    </row>
    <row r="342" spans="1:8" x14ac:dyDescent="0.2">
      <c r="A342" t="s">
        <v>99</v>
      </c>
      <c r="B342" t="s">
        <v>13</v>
      </c>
      <c r="C342" t="s">
        <v>111</v>
      </c>
      <c r="D342" t="s">
        <v>5</v>
      </c>
      <c r="E342" t="s">
        <v>112</v>
      </c>
      <c r="F342">
        <v>2018</v>
      </c>
      <c r="G342" s="20">
        <v>107454</v>
      </c>
      <c r="H342" t="s">
        <v>121</v>
      </c>
    </row>
    <row r="343" spans="1:8" x14ac:dyDescent="0.2">
      <c r="A343" t="s">
        <v>99</v>
      </c>
      <c r="B343" t="s">
        <v>13</v>
      </c>
      <c r="C343" t="s">
        <v>111</v>
      </c>
      <c r="D343" t="s">
        <v>6</v>
      </c>
      <c r="E343" t="s">
        <v>112</v>
      </c>
      <c r="F343">
        <v>2018</v>
      </c>
      <c r="G343" s="20">
        <v>37189</v>
      </c>
      <c r="H343" t="s">
        <v>121</v>
      </c>
    </row>
    <row r="344" spans="1:8" x14ac:dyDescent="0.2">
      <c r="A344" t="s">
        <v>100</v>
      </c>
      <c r="B344" t="s">
        <v>7</v>
      </c>
      <c r="C344" t="s">
        <v>111</v>
      </c>
      <c r="D344" t="s">
        <v>5</v>
      </c>
      <c r="E344" t="s">
        <v>112</v>
      </c>
      <c r="F344">
        <v>2018</v>
      </c>
      <c r="G344" s="20">
        <v>123283</v>
      </c>
      <c r="H344" t="s">
        <v>113</v>
      </c>
    </row>
    <row r="345" spans="1:8" x14ac:dyDescent="0.2">
      <c r="A345" t="s">
        <v>100</v>
      </c>
      <c r="B345" t="s">
        <v>7</v>
      </c>
      <c r="C345" t="s">
        <v>111</v>
      </c>
      <c r="D345" t="s">
        <v>6</v>
      </c>
      <c r="E345" t="s">
        <v>112</v>
      </c>
      <c r="F345">
        <v>2018</v>
      </c>
      <c r="G345" s="20">
        <v>25138</v>
      </c>
      <c r="H345" t="s">
        <v>113</v>
      </c>
    </row>
    <row r="346" spans="1:8" x14ac:dyDescent="0.2">
      <c r="A346" t="s">
        <v>63</v>
      </c>
      <c r="B346" t="s">
        <v>7</v>
      </c>
      <c r="C346" t="s">
        <v>111</v>
      </c>
      <c r="D346" t="s">
        <v>5</v>
      </c>
      <c r="E346" t="s">
        <v>112</v>
      </c>
      <c r="F346">
        <v>2017</v>
      </c>
      <c r="G346" s="20">
        <v>1973</v>
      </c>
      <c r="H346" t="s">
        <v>113</v>
      </c>
    </row>
    <row r="347" spans="1:8" x14ac:dyDescent="0.2">
      <c r="A347" t="s">
        <v>63</v>
      </c>
      <c r="B347" t="s">
        <v>7</v>
      </c>
      <c r="C347" t="s">
        <v>111</v>
      </c>
      <c r="D347" t="s">
        <v>6</v>
      </c>
      <c r="E347" t="s">
        <v>112</v>
      </c>
      <c r="F347">
        <v>2017</v>
      </c>
      <c r="G347" s="19" t="s">
        <v>117</v>
      </c>
      <c r="H347" t="s">
        <v>113</v>
      </c>
    </row>
    <row r="348" spans="1:8" x14ac:dyDescent="0.2">
      <c r="A348" t="s">
        <v>64</v>
      </c>
      <c r="B348" t="s">
        <v>7</v>
      </c>
      <c r="C348" t="s">
        <v>111</v>
      </c>
      <c r="D348" t="s">
        <v>5</v>
      </c>
      <c r="E348" t="s">
        <v>112</v>
      </c>
      <c r="F348">
        <v>2017</v>
      </c>
      <c r="G348" s="19" t="s">
        <v>11</v>
      </c>
      <c r="H348" t="s">
        <v>113</v>
      </c>
    </row>
    <row r="349" spans="1:8" x14ac:dyDescent="0.2">
      <c r="A349" t="s">
        <v>64</v>
      </c>
      <c r="B349" t="s">
        <v>7</v>
      </c>
      <c r="C349" t="s">
        <v>111</v>
      </c>
      <c r="D349" t="s">
        <v>6</v>
      </c>
      <c r="E349" t="s">
        <v>112</v>
      </c>
      <c r="F349">
        <v>2017</v>
      </c>
      <c r="G349" s="20">
        <v>15062</v>
      </c>
      <c r="H349" t="s">
        <v>113</v>
      </c>
    </row>
    <row r="350" spans="1:8" x14ac:dyDescent="0.2">
      <c r="A350" t="s">
        <v>65</v>
      </c>
      <c r="B350" t="s">
        <v>13</v>
      </c>
      <c r="C350" t="s">
        <v>111</v>
      </c>
      <c r="D350" t="s">
        <v>5</v>
      </c>
      <c r="E350" t="s">
        <v>112</v>
      </c>
      <c r="F350">
        <v>2017</v>
      </c>
      <c r="G350" s="20">
        <v>77777</v>
      </c>
      <c r="H350" t="s">
        <v>121</v>
      </c>
    </row>
    <row r="351" spans="1:8" x14ac:dyDescent="0.2">
      <c r="A351" t="s">
        <v>65</v>
      </c>
      <c r="B351" t="s">
        <v>13</v>
      </c>
      <c r="C351" t="s">
        <v>111</v>
      </c>
      <c r="D351" t="s">
        <v>6</v>
      </c>
      <c r="E351" t="s">
        <v>112</v>
      </c>
      <c r="F351">
        <v>2017</v>
      </c>
      <c r="G351" s="20">
        <v>13614</v>
      </c>
      <c r="H351" t="s">
        <v>121</v>
      </c>
    </row>
    <row r="352" spans="1:8" x14ac:dyDescent="0.2">
      <c r="A352" t="s">
        <v>66</v>
      </c>
      <c r="B352" t="s">
        <v>13</v>
      </c>
      <c r="C352" t="s">
        <v>111</v>
      </c>
      <c r="D352" t="s">
        <v>5</v>
      </c>
      <c r="E352" t="s">
        <v>112</v>
      </c>
      <c r="F352">
        <v>2017</v>
      </c>
      <c r="G352" s="20">
        <v>31415</v>
      </c>
      <c r="H352" t="s">
        <v>121</v>
      </c>
    </row>
    <row r="353" spans="1:8" x14ac:dyDescent="0.2">
      <c r="A353" t="s">
        <v>66</v>
      </c>
      <c r="B353" t="s">
        <v>13</v>
      </c>
      <c r="C353" t="s">
        <v>111</v>
      </c>
      <c r="D353" t="s">
        <v>6</v>
      </c>
      <c r="E353" t="s">
        <v>112</v>
      </c>
      <c r="F353">
        <v>2017</v>
      </c>
      <c r="G353" s="20">
        <v>12569</v>
      </c>
      <c r="H353" t="s">
        <v>121</v>
      </c>
    </row>
    <row r="354" spans="1:8" x14ac:dyDescent="0.2">
      <c r="A354" t="s">
        <v>67</v>
      </c>
      <c r="B354" t="s">
        <v>7</v>
      </c>
      <c r="C354" t="s">
        <v>111</v>
      </c>
      <c r="D354" t="s">
        <v>5</v>
      </c>
      <c r="E354" t="s">
        <v>112</v>
      </c>
      <c r="F354">
        <v>2017</v>
      </c>
      <c r="G354" s="20">
        <v>1451</v>
      </c>
      <c r="H354" t="s">
        <v>113</v>
      </c>
    </row>
    <row r="355" spans="1:8" x14ac:dyDescent="0.2">
      <c r="A355" t="s">
        <v>67</v>
      </c>
      <c r="B355" t="s">
        <v>7</v>
      </c>
      <c r="C355" t="s">
        <v>111</v>
      </c>
      <c r="D355" t="s">
        <v>6</v>
      </c>
      <c r="E355" t="s">
        <v>112</v>
      </c>
      <c r="F355">
        <v>2017</v>
      </c>
      <c r="H355" t="s">
        <v>113</v>
      </c>
    </row>
    <row r="356" spans="1:8" x14ac:dyDescent="0.2">
      <c r="A356" t="s">
        <v>68</v>
      </c>
      <c r="B356" t="s">
        <v>7</v>
      </c>
      <c r="C356" t="s">
        <v>111</v>
      </c>
      <c r="D356" t="s">
        <v>5</v>
      </c>
      <c r="E356" t="s">
        <v>112</v>
      </c>
      <c r="F356">
        <v>2017</v>
      </c>
      <c r="G356" s="20">
        <v>25314</v>
      </c>
      <c r="H356" t="s">
        <v>126</v>
      </c>
    </row>
    <row r="357" spans="1:8" x14ac:dyDescent="0.2">
      <c r="A357" t="s">
        <v>68</v>
      </c>
      <c r="B357" t="s">
        <v>7</v>
      </c>
      <c r="C357" t="s">
        <v>111</v>
      </c>
      <c r="D357" t="s">
        <v>6</v>
      </c>
      <c r="E357" t="s">
        <v>112</v>
      </c>
      <c r="F357">
        <v>2017</v>
      </c>
      <c r="G357" s="20">
        <v>11681</v>
      </c>
      <c r="H357" t="s">
        <v>126</v>
      </c>
    </row>
    <row r="358" spans="1:8" x14ac:dyDescent="0.2">
      <c r="A358" t="s">
        <v>69</v>
      </c>
      <c r="B358" t="s">
        <v>7</v>
      </c>
      <c r="C358" t="s">
        <v>111</v>
      </c>
      <c r="D358" t="s">
        <v>5</v>
      </c>
      <c r="E358" t="s">
        <v>112</v>
      </c>
      <c r="F358">
        <v>2017</v>
      </c>
      <c r="G358" s="20">
        <v>68652</v>
      </c>
      <c r="H358" t="s">
        <v>113</v>
      </c>
    </row>
    <row r="359" spans="1:8" x14ac:dyDescent="0.2">
      <c r="A359" t="s">
        <v>69</v>
      </c>
      <c r="B359" t="s">
        <v>7</v>
      </c>
      <c r="C359" t="s">
        <v>111</v>
      </c>
      <c r="D359" t="s">
        <v>6</v>
      </c>
      <c r="E359" t="s">
        <v>112</v>
      </c>
      <c r="F359">
        <v>2017</v>
      </c>
      <c r="G359" s="20">
        <v>16648</v>
      </c>
      <c r="H359" t="s">
        <v>113</v>
      </c>
    </row>
    <row r="360" spans="1:8" x14ac:dyDescent="0.2">
      <c r="A360" t="s">
        <v>71</v>
      </c>
      <c r="B360" t="s">
        <v>17</v>
      </c>
      <c r="C360" t="s">
        <v>111</v>
      </c>
      <c r="D360" t="s">
        <v>5</v>
      </c>
      <c r="E360" t="s">
        <v>112</v>
      </c>
      <c r="F360">
        <v>2017</v>
      </c>
      <c r="G360" s="19" t="s">
        <v>18</v>
      </c>
      <c r="H360" t="s">
        <v>113</v>
      </c>
    </row>
    <row r="361" spans="1:8" x14ac:dyDescent="0.2">
      <c r="A361" t="s">
        <v>71</v>
      </c>
      <c r="B361" t="s">
        <v>17</v>
      </c>
      <c r="C361" t="s">
        <v>111</v>
      </c>
      <c r="D361" t="s">
        <v>6</v>
      </c>
      <c r="E361" t="s">
        <v>112</v>
      </c>
      <c r="F361">
        <v>2017</v>
      </c>
      <c r="G361" s="20">
        <v>10188</v>
      </c>
      <c r="H361" t="s">
        <v>113</v>
      </c>
    </row>
    <row r="362" spans="1:8" x14ac:dyDescent="0.2">
      <c r="A362" t="s">
        <v>72</v>
      </c>
      <c r="B362" t="s">
        <v>13</v>
      </c>
      <c r="C362" t="s">
        <v>111</v>
      </c>
      <c r="D362" t="s">
        <v>5</v>
      </c>
      <c r="E362" t="s">
        <v>112</v>
      </c>
      <c r="F362">
        <v>2017</v>
      </c>
      <c r="G362" s="20">
        <v>391723</v>
      </c>
      <c r="H362" t="s">
        <v>121</v>
      </c>
    </row>
    <row r="363" spans="1:8" x14ac:dyDescent="0.2">
      <c r="A363" t="s">
        <v>72</v>
      </c>
      <c r="B363" t="s">
        <v>13</v>
      </c>
      <c r="C363" t="s">
        <v>111</v>
      </c>
      <c r="D363" t="s">
        <v>6</v>
      </c>
      <c r="E363" t="s">
        <v>112</v>
      </c>
      <c r="F363">
        <v>2017</v>
      </c>
      <c r="G363" s="20">
        <v>119444</v>
      </c>
      <c r="H363" t="s">
        <v>121</v>
      </c>
    </row>
    <row r="364" spans="1:8" x14ac:dyDescent="0.2">
      <c r="A364" t="s">
        <v>73</v>
      </c>
      <c r="B364" t="s">
        <v>13</v>
      </c>
      <c r="C364" t="s">
        <v>111</v>
      </c>
      <c r="D364" t="s">
        <v>5</v>
      </c>
      <c r="E364" t="s">
        <v>112</v>
      </c>
      <c r="F364">
        <v>2017</v>
      </c>
      <c r="G364" s="19" t="s">
        <v>20</v>
      </c>
      <c r="H364" t="s">
        <v>121</v>
      </c>
    </row>
    <row r="365" spans="1:8" x14ac:dyDescent="0.2">
      <c r="A365" t="s">
        <v>73</v>
      </c>
      <c r="B365" t="s">
        <v>13</v>
      </c>
      <c r="C365" t="s">
        <v>111</v>
      </c>
      <c r="D365" t="s">
        <v>6</v>
      </c>
      <c r="E365" t="s">
        <v>112</v>
      </c>
      <c r="F365">
        <v>2017</v>
      </c>
      <c r="G365" s="20">
        <v>11976</v>
      </c>
      <c r="H365" t="s">
        <v>121</v>
      </c>
    </row>
    <row r="366" spans="1:8" x14ac:dyDescent="0.2">
      <c r="A366" t="s">
        <v>74</v>
      </c>
      <c r="B366" t="s">
        <v>13</v>
      </c>
      <c r="C366" t="s">
        <v>111</v>
      </c>
      <c r="D366" t="s">
        <v>5</v>
      </c>
      <c r="E366" t="s">
        <v>112</v>
      </c>
      <c r="F366">
        <v>2017</v>
      </c>
      <c r="G366" s="20">
        <v>222297</v>
      </c>
      <c r="H366" t="s">
        <v>121</v>
      </c>
    </row>
    <row r="367" spans="1:8" x14ac:dyDescent="0.2">
      <c r="A367" t="s">
        <v>74</v>
      </c>
      <c r="B367" t="s">
        <v>13</v>
      </c>
      <c r="C367" t="s">
        <v>111</v>
      </c>
      <c r="D367" t="s">
        <v>6</v>
      </c>
      <c r="E367" t="s">
        <v>112</v>
      </c>
      <c r="F367">
        <v>2017</v>
      </c>
      <c r="G367" s="20">
        <v>71565</v>
      </c>
      <c r="H367" t="s">
        <v>121</v>
      </c>
    </row>
    <row r="368" spans="1:8" x14ac:dyDescent="0.2">
      <c r="A368" t="s">
        <v>75</v>
      </c>
      <c r="B368" t="s">
        <v>7</v>
      </c>
      <c r="C368" t="s">
        <v>111</v>
      </c>
      <c r="D368" t="s">
        <v>5</v>
      </c>
      <c r="E368" t="s">
        <v>112</v>
      </c>
      <c r="F368">
        <v>2017</v>
      </c>
      <c r="G368" s="20">
        <v>12072</v>
      </c>
      <c r="H368" t="s">
        <v>121</v>
      </c>
    </row>
    <row r="369" spans="1:8" x14ac:dyDescent="0.2">
      <c r="A369" t="s">
        <v>75</v>
      </c>
      <c r="B369" t="s">
        <v>7</v>
      </c>
      <c r="C369" t="s">
        <v>111</v>
      </c>
      <c r="D369" t="s">
        <v>6</v>
      </c>
      <c r="E369" t="s">
        <v>112</v>
      </c>
      <c r="F369">
        <v>2017</v>
      </c>
      <c r="G369" s="20">
        <v>3592</v>
      </c>
      <c r="H369" t="s">
        <v>121</v>
      </c>
    </row>
    <row r="370" spans="1:8" x14ac:dyDescent="0.2">
      <c r="A370" t="s">
        <v>76</v>
      </c>
      <c r="B370" t="s">
        <v>13</v>
      </c>
      <c r="C370" t="s">
        <v>111</v>
      </c>
      <c r="D370" t="s">
        <v>5</v>
      </c>
      <c r="E370" t="s">
        <v>112</v>
      </c>
      <c r="F370">
        <v>2017</v>
      </c>
      <c r="G370" s="20">
        <v>52095</v>
      </c>
      <c r="H370" t="s">
        <v>121</v>
      </c>
    </row>
    <row r="371" spans="1:8" x14ac:dyDescent="0.2">
      <c r="A371" t="s">
        <v>76</v>
      </c>
      <c r="B371" t="s">
        <v>13</v>
      </c>
      <c r="C371" t="s">
        <v>111</v>
      </c>
      <c r="D371" t="s">
        <v>6</v>
      </c>
      <c r="E371" t="s">
        <v>112</v>
      </c>
      <c r="F371">
        <v>2017</v>
      </c>
      <c r="G371" s="20">
        <v>11382</v>
      </c>
      <c r="H371" t="s">
        <v>121</v>
      </c>
    </row>
    <row r="372" spans="1:8" x14ac:dyDescent="0.2">
      <c r="A372" t="s">
        <v>77</v>
      </c>
      <c r="B372" t="s">
        <v>4</v>
      </c>
      <c r="C372" t="s">
        <v>111</v>
      </c>
      <c r="D372" t="s">
        <v>5</v>
      </c>
      <c r="E372" t="s">
        <v>112</v>
      </c>
      <c r="F372">
        <v>2017</v>
      </c>
      <c r="G372" s="19" t="s">
        <v>29</v>
      </c>
      <c r="H372" t="s">
        <v>113</v>
      </c>
    </row>
    <row r="373" spans="1:8" x14ac:dyDescent="0.2">
      <c r="A373" t="s">
        <v>77</v>
      </c>
      <c r="B373" t="s">
        <v>4</v>
      </c>
      <c r="C373" t="s">
        <v>111</v>
      </c>
      <c r="D373" t="s">
        <v>6</v>
      </c>
      <c r="E373" t="s">
        <v>112</v>
      </c>
      <c r="F373">
        <v>2017</v>
      </c>
      <c r="G373" s="20">
        <v>86911</v>
      </c>
      <c r="H373" t="s">
        <v>113</v>
      </c>
    </row>
    <row r="374" spans="1:8" x14ac:dyDescent="0.2">
      <c r="A374" t="s">
        <v>78</v>
      </c>
      <c r="B374" t="s">
        <v>7</v>
      </c>
      <c r="C374" t="s">
        <v>111</v>
      </c>
      <c r="D374" t="s">
        <v>5</v>
      </c>
      <c r="E374" t="s">
        <v>112</v>
      </c>
      <c r="F374">
        <v>2017</v>
      </c>
      <c r="G374" s="19" t="s">
        <v>31</v>
      </c>
      <c r="H374" t="s">
        <v>113</v>
      </c>
    </row>
    <row r="375" spans="1:8" x14ac:dyDescent="0.2">
      <c r="A375" t="s">
        <v>78</v>
      </c>
      <c r="B375" t="s">
        <v>7</v>
      </c>
      <c r="C375" t="s">
        <v>111</v>
      </c>
      <c r="D375" t="s">
        <v>6</v>
      </c>
      <c r="E375" t="s">
        <v>112</v>
      </c>
      <c r="F375">
        <v>2017</v>
      </c>
      <c r="G375" s="20">
        <v>159388</v>
      </c>
      <c r="H375" t="s">
        <v>113</v>
      </c>
    </row>
    <row r="376" spans="1:8" x14ac:dyDescent="0.2">
      <c r="A376" t="s">
        <v>79</v>
      </c>
      <c r="B376" t="s">
        <v>7</v>
      </c>
      <c r="C376" t="s">
        <v>111</v>
      </c>
      <c r="D376" t="s">
        <v>5</v>
      </c>
      <c r="E376" t="s">
        <v>112</v>
      </c>
      <c r="F376">
        <v>2017</v>
      </c>
      <c r="G376" s="20">
        <v>19024</v>
      </c>
      <c r="H376" t="s">
        <v>113</v>
      </c>
    </row>
    <row r="377" spans="1:8" x14ac:dyDescent="0.2">
      <c r="A377" t="s">
        <v>79</v>
      </c>
      <c r="B377" t="s">
        <v>7</v>
      </c>
      <c r="C377" t="s">
        <v>111</v>
      </c>
      <c r="D377" t="s">
        <v>6</v>
      </c>
      <c r="E377" t="s">
        <v>112</v>
      </c>
      <c r="F377">
        <v>2017</v>
      </c>
      <c r="G377" s="20">
        <v>5204</v>
      </c>
      <c r="H377" t="s">
        <v>113</v>
      </c>
    </row>
    <row r="378" spans="1:8" x14ac:dyDescent="0.2">
      <c r="A378" t="s">
        <v>80</v>
      </c>
      <c r="B378" t="s">
        <v>13</v>
      </c>
      <c r="C378" t="s">
        <v>111</v>
      </c>
      <c r="D378" t="s">
        <v>5</v>
      </c>
      <c r="E378" t="s">
        <v>112</v>
      </c>
      <c r="F378">
        <v>2017</v>
      </c>
      <c r="G378" s="20">
        <v>11539</v>
      </c>
      <c r="H378" t="s">
        <v>121</v>
      </c>
    </row>
    <row r="379" spans="1:8" x14ac:dyDescent="0.2">
      <c r="A379" t="s">
        <v>80</v>
      </c>
      <c r="B379" t="s">
        <v>13</v>
      </c>
      <c r="C379" t="s">
        <v>111</v>
      </c>
      <c r="D379" t="s">
        <v>6</v>
      </c>
      <c r="E379" t="s">
        <v>112</v>
      </c>
      <c r="F379">
        <v>2017</v>
      </c>
      <c r="G379" s="20">
        <v>3737</v>
      </c>
      <c r="H379" t="s">
        <v>121</v>
      </c>
    </row>
    <row r="380" spans="1:8" x14ac:dyDescent="0.2">
      <c r="A380" t="s">
        <v>81</v>
      </c>
      <c r="B380" t="s">
        <v>7</v>
      </c>
      <c r="C380" t="s">
        <v>111</v>
      </c>
      <c r="D380" t="s">
        <v>5</v>
      </c>
      <c r="E380" t="s">
        <v>112</v>
      </c>
      <c r="F380">
        <v>2017</v>
      </c>
      <c r="G380" s="20">
        <v>42346</v>
      </c>
      <c r="H380" t="s">
        <v>121</v>
      </c>
    </row>
    <row r="381" spans="1:8" x14ac:dyDescent="0.2">
      <c r="A381" t="s">
        <v>81</v>
      </c>
      <c r="B381" t="s">
        <v>7</v>
      </c>
      <c r="C381" t="s">
        <v>111</v>
      </c>
      <c r="D381" t="s">
        <v>6</v>
      </c>
      <c r="E381" t="s">
        <v>112</v>
      </c>
      <c r="F381">
        <v>2017</v>
      </c>
      <c r="G381" s="20">
        <v>9902</v>
      </c>
      <c r="H381" t="s">
        <v>121</v>
      </c>
    </row>
    <row r="382" spans="1:8" x14ac:dyDescent="0.2">
      <c r="A382" t="s">
        <v>82</v>
      </c>
      <c r="B382" t="s">
        <v>13</v>
      </c>
      <c r="C382" t="s">
        <v>111</v>
      </c>
      <c r="D382" t="s">
        <v>5</v>
      </c>
      <c r="E382" t="s">
        <v>112</v>
      </c>
      <c r="F382">
        <v>2017</v>
      </c>
      <c r="G382" s="20">
        <v>53839</v>
      </c>
      <c r="H382" t="s">
        <v>121</v>
      </c>
    </row>
    <row r="383" spans="1:8" x14ac:dyDescent="0.2">
      <c r="A383" t="s">
        <v>82</v>
      </c>
      <c r="B383" t="s">
        <v>13</v>
      </c>
      <c r="C383" t="s">
        <v>111</v>
      </c>
      <c r="D383" t="s">
        <v>6</v>
      </c>
      <c r="E383" t="s">
        <v>112</v>
      </c>
      <c r="F383">
        <v>2017</v>
      </c>
      <c r="G383" s="19" t="s">
        <v>40</v>
      </c>
      <c r="H383" t="s">
        <v>121</v>
      </c>
    </row>
    <row r="384" spans="1:8" x14ac:dyDescent="0.2">
      <c r="A384" t="s">
        <v>83</v>
      </c>
      <c r="B384" t="s">
        <v>13</v>
      </c>
      <c r="C384" t="s">
        <v>111</v>
      </c>
      <c r="D384" t="s">
        <v>5</v>
      </c>
      <c r="E384" t="s">
        <v>112</v>
      </c>
      <c r="F384">
        <v>2017</v>
      </c>
      <c r="G384" s="20">
        <v>3543</v>
      </c>
      <c r="H384" t="s">
        <v>121</v>
      </c>
    </row>
    <row r="385" spans="1:8" x14ac:dyDescent="0.2">
      <c r="A385" t="s">
        <v>83</v>
      </c>
      <c r="B385" t="s">
        <v>13</v>
      </c>
      <c r="C385" t="s">
        <v>111</v>
      </c>
      <c r="D385" t="s">
        <v>6</v>
      </c>
      <c r="E385" t="s">
        <v>112</v>
      </c>
      <c r="F385">
        <v>2017</v>
      </c>
      <c r="G385" s="20">
        <v>1497</v>
      </c>
      <c r="H385" t="s">
        <v>121</v>
      </c>
    </row>
    <row r="386" spans="1:8" x14ac:dyDescent="0.2">
      <c r="A386" t="s">
        <v>84</v>
      </c>
      <c r="B386" t="s">
        <v>13</v>
      </c>
      <c r="C386" t="s">
        <v>111</v>
      </c>
      <c r="D386" t="s">
        <v>5</v>
      </c>
      <c r="E386" t="s">
        <v>112</v>
      </c>
      <c r="F386">
        <v>2017</v>
      </c>
      <c r="G386" s="20">
        <v>214477</v>
      </c>
      <c r="H386" t="s">
        <v>121</v>
      </c>
    </row>
    <row r="387" spans="1:8" x14ac:dyDescent="0.2">
      <c r="A387" t="s">
        <v>84</v>
      </c>
      <c r="B387" t="s">
        <v>13</v>
      </c>
      <c r="C387" t="s">
        <v>111</v>
      </c>
      <c r="D387" t="s">
        <v>6</v>
      </c>
      <c r="E387" t="s">
        <v>112</v>
      </c>
      <c r="F387">
        <v>2017</v>
      </c>
      <c r="G387" s="20">
        <v>68239</v>
      </c>
      <c r="H387" t="s">
        <v>121</v>
      </c>
    </row>
    <row r="388" spans="1:8" x14ac:dyDescent="0.2">
      <c r="A388" t="s">
        <v>85</v>
      </c>
      <c r="B388" t="s">
        <v>7</v>
      </c>
      <c r="C388" t="s">
        <v>111</v>
      </c>
      <c r="D388" t="s">
        <v>5</v>
      </c>
      <c r="E388" t="s">
        <v>112</v>
      </c>
      <c r="F388">
        <v>2017</v>
      </c>
      <c r="G388" s="19" t="s">
        <v>132</v>
      </c>
      <c r="H388" t="s">
        <v>113</v>
      </c>
    </row>
    <row r="389" spans="1:8" x14ac:dyDescent="0.2">
      <c r="A389" t="s">
        <v>85</v>
      </c>
      <c r="B389" t="s">
        <v>7</v>
      </c>
      <c r="C389" t="s">
        <v>111</v>
      </c>
      <c r="D389" t="s">
        <v>6</v>
      </c>
      <c r="E389" t="s">
        <v>112</v>
      </c>
      <c r="F389">
        <v>2017</v>
      </c>
      <c r="G389" s="19" t="s">
        <v>43</v>
      </c>
      <c r="H389" t="s">
        <v>113</v>
      </c>
    </row>
    <row r="390" spans="1:8" x14ac:dyDescent="0.2">
      <c r="A390" t="s">
        <v>86</v>
      </c>
      <c r="B390" t="s">
        <v>13</v>
      </c>
      <c r="C390" t="s">
        <v>111</v>
      </c>
      <c r="D390" t="s">
        <v>5</v>
      </c>
      <c r="E390" t="s">
        <v>112</v>
      </c>
      <c r="F390">
        <v>2017</v>
      </c>
      <c r="G390" s="20">
        <v>9815</v>
      </c>
      <c r="H390" t="s">
        <v>121</v>
      </c>
    </row>
    <row r="391" spans="1:8" x14ac:dyDescent="0.2">
      <c r="A391" t="s">
        <v>86</v>
      </c>
      <c r="B391" t="s">
        <v>13</v>
      </c>
      <c r="C391" t="s">
        <v>111</v>
      </c>
      <c r="D391" t="s">
        <v>6</v>
      </c>
      <c r="E391" t="s">
        <v>112</v>
      </c>
      <c r="F391">
        <v>2017</v>
      </c>
      <c r="G391" s="20">
        <v>5425</v>
      </c>
      <c r="H391" t="s">
        <v>121</v>
      </c>
    </row>
    <row r="392" spans="1:8" x14ac:dyDescent="0.2">
      <c r="A392" t="s">
        <v>87</v>
      </c>
      <c r="B392" t="s">
        <v>13</v>
      </c>
      <c r="C392" t="s">
        <v>111</v>
      </c>
      <c r="D392" t="s">
        <v>5</v>
      </c>
      <c r="E392" t="s">
        <v>112</v>
      </c>
      <c r="F392">
        <v>2017</v>
      </c>
      <c r="G392" s="20">
        <v>3095</v>
      </c>
      <c r="H392" t="s">
        <v>121</v>
      </c>
    </row>
    <row r="393" spans="1:8" x14ac:dyDescent="0.2">
      <c r="A393" t="s">
        <v>87</v>
      </c>
      <c r="B393" t="s">
        <v>13</v>
      </c>
      <c r="C393" t="s">
        <v>111</v>
      </c>
      <c r="D393" t="s">
        <v>6</v>
      </c>
      <c r="E393" t="s">
        <v>112</v>
      </c>
      <c r="F393">
        <v>2017</v>
      </c>
      <c r="G393" s="20">
        <v>1199</v>
      </c>
      <c r="H393" t="s">
        <v>121</v>
      </c>
    </row>
    <row r="394" spans="1:8" x14ac:dyDescent="0.2">
      <c r="A394" t="s">
        <v>88</v>
      </c>
      <c r="B394" t="s">
        <v>13</v>
      </c>
      <c r="C394" t="s">
        <v>111</v>
      </c>
      <c r="D394" t="s">
        <v>5</v>
      </c>
      <c r="E394" t="s">
        <v>112</v>
      </c>
      <c r="F394">
        <v>2017</v>
      </c>
      <c r="G394" s="19" t="s">
        <v>45</v>
      </c>
      <c r="H394" t="s">
        <v>121</v>
      </c>
    </row>
    <row r="395" spans="1:8" x14ac:dyDescent="0.2">
      <c r="A395" t="s">
        <v>88</v>
      </c>
      <c r="B395" t="s">
        <v>13</v>
      </c>
      <c r="C395" t="s">
        <v>111</v>
      </c>
      <c r="D395" t="s">
        <v>6</v>
      </c>
      <c r="E395" t="s">
        <v>112</v>
      </c>
      <c r="F395">
        <v>2017</v>
      </c>
      <c r="G395" s="20">
        <v>3498</v>
      </c>
      <c r="H395" t="s">
        <v>121</v>
      </c>
    </row>
    <row r="396" spans="1:8" x14ac:dyDescent="0.2">
      <c r="A396" t="s">
        <v>89</v>
      </c>
      <c r="B396" t="s">
        <v>7</v>
      </c>
      <c r="C396" t="s">
        <v>111</v>
      </c>
      <c r="D396" t="s">
        <v>5</v>
      </c>
      <c r="E396" t="s">
        <v>112</v>
      </c>
      <c r="F396">
        <v>2017</v>
      </c>
      <c r="G396" s="20">
        <v>2712</v>
      </c>
      <c r="H396" t="s">
        <v>113</v>
      </c>
    </row>
    <row r="397" spans="1:8" x14ac:dyDescent="0.2">
      <c r="A397" t="s">
        <v>89</v>
      </c>
      <c r="B397" t="s">
        <v>7</v>
      </c>
      <c r="C397" t="s">
        <v>111</v>
      </c>
      <c r="D397" t="s">
        <v>6</v>
      </c>
      <c r="E397" t="s">
        <v>112</v>
      </c>
      <c r="F397">
        <v>2017</v>
      </c>
      <c r="G397" s="20">
        <v>1509</v>
      </c>
      <c r="H397" t="s">
        <v>113</v>
      </c>
    </row>
    <row r="398" spans="1:8" x14ac:dyDescent="0.2">
      <c r="A398" t="s">
        <v>90</v>
      </c>
      <c r="B398" t="s">
        <v>7</v>
      </c>
      <c r="C398" t="s">
        <v>111</v>
      </c>
      <c r="D398" t="s">
        <v>5</v>
      </c>
      <c r="E398" t="s">
        <v>112</v>
      </c>
      <c r="F398">
        <v>2017</v>
      </c>
      <c r="G398" s="20">
        <v>2982</v>
      </c>
      <c r="H398" t="s">
        <v>121</v>
      </c>
    </row>
    <row r="399" spans="1:8" x14ac:dyDescent="0.2">
      <c r="A399" t="s">
        <v>90</v>
      </c>
      <c r="B399" t="s">
        <v>7</v>
      </c>
      <c r="C399" t="s">
        <v>111</v>
      </c>
      <c r="D399" t="s">
        <v>6</v>
      </c>
      <c r="E399" t="s">
        <v>112</v>
      </c>
      <c r="F399">
        <v>2017</v>
      </c>
      <c r="G399" s="19" t="s">
        <v>145</v>
      </c>
      <c r="H399" t="s">
        <v>121</v>
      </c>
    </row>
    <row r="400" spans="1:8" x14ac:dyDescent="0.2">
      <c r="A400" t="s">
        <v>91</v>
      </c>
      <c r="B400" t="s">
        <v>13</v>
      </c>
      <c r="C400" t="s">
        <v>111</v>
      </c>
      <c r="D400" t="s">
        <v>5</v>
      </c>
      <c r="E400" t="s">
        <v>112</v>
      </c>
      <c r="F400">
        <v>2017</v>
      </c>
      <c r="G400" s="20">
        <v>138532</v>
      </c>
      <c r="H400" t="s">
        <v>121</v>
      </c>
    </row>
    <row r="401" spans="1:8" x14ac:dyDescent="0.2">
      <c r="A401" t="s">
        <v>91</v>
      </c>
      <c r="B401" t="s">
        <v>13</v>
      </c>
      <c r="C401" t="s">
        <v>111</v>
      </c>
      <c r="D401" t="s">
        <v>6</v>
      </c>
      <c r="E401" t="s">
        <v>112</v>
      </c>
      <c r="F401">
        <v>2017</v>
      </c>
      <c r="G401" s="20">
        <v>31796</v>
      </c>
      <c r="H401" t="s">
        <v>121</v>
      </c>
    </row>
    <row r="402" spans="1:8" x14ac:dyDescent="0.2">
      <c r="A402" t="s">
        <v>92</v>
      </c>
      <c r="B402" t="s">
        <v>13</v>
      </c>
      <c r="C402" t="s">
        <v>111</v>
      </c>
      <c r="D402" t="s">
        <v>5</v>
      </c>
      <c r="E402" t="s">
        <v>112</v>
      </c>
      <c r="F402">
        <v>2017</v>
      </c>
      <c r="G402" s="20">
        <v>37788</v>
      </c>
      <c r="H402" t="s">
        <v>121</v>
      </c>
    </row>
    <row r="403" spans="1:8" x14ac:dyDescent="0.2">
      <c r="A403" t="s">
        <v>92</v>
      </c>
      <c r="B403" t="s">
        <v>13</v>
      </c>
      <c r="C403" t="s">
        <v>111</v>
      </c>
      <c r="D403" t="s">
        <v>6</v>
      </c>
      <c r="E403" t="s">
        <v>112</v>
      </c>
      <c r="F403">
        <v>2017</v>
      </c>
      <c r="G403" s="19" t="s">
        <v>48</v>
      </c>
      <c r="H403" t="s">
        <v>121</v>
      </c>
    </row>
    <row r="404" spans="1:8" x14ac:dyDescent="0.2">
      <c r="A404" t="s">
        <v>93</v>
      </c>
      <c r="B404" t="s">
        <v>13</v>
      </c>
      <c r="C404" t="s">
        <v>111</v>
      </c>
      <c r="D404" t="s">
        <v>5</v>
      </c>
      <c r="E404" t="s">
        <v>112</v>
      </c>
      <c r="F404">
        <v>2017</v>
      </c>
      <c r="G404" s="20">
        <v>157378</v>
      </c>
      <c r="H404" t="s">
        <v>121</v>
      </c>
    </row>
    <row r="405" spans="1:8" x14ac:dyDescent="0.2">
      <c r="A405" t="s">
        <v>93</v>
      </c>
      <c r="B405" t="s">
        <v>13</v>
      </c>
      <c r="C405" t="s">
        <v>111</v>
      </c>
      <c r="D405" t="s">
        <v>6</v>
      </c>
      <c r="E405" t="s">
        <v>112</v>
      </c>
      <c r="F405">
        <v>2017</v>
      </c>
      <c r="G405" s="20">
        <v>43599</v>
      </c>
      <c r="H405" t="s">
        <v>121</v>
      </c>
    </row>
    <row r="406" spans="1:8" x14ac:dyDescent="0.2">
      <c r="A406" t="s">
        <v>94</v>
      </c>
      <c r="B406" t="s">
        <v>13</v>
      </c>
      <c r="C406" t="s">
        <v>111</v>
      </c>
      <c r="D406" t="s">
        <v>5</v>
      </c>
      <c r="E406" t="s">
        <v>112</v>
      </c>
      <c r="F406">
        <v>2017</v>
      </c>
      <c r="G406" s="20">
        <v>43184</v>
      </c>
      <c r="H406" t="s">
        <v>121</v>
      </c>
    </row>
    <row r="407" spans="1:8" x14ac:dyDescent="0.2">
      <c r="A407" t="s">
        <v>94</v>
      </c>
      <c r="B407" t="s">
        <v>13</v>
      </c>
      <c r="C407" t="s">
        <v>111</v>
      </c>
      <c r="D407" t="s">
        <v>6</v>
      </c>
      <c r="E407" t="s">
        <v>112</v>
      </c>
      <c r="F407">
        <v>2017</v>
      </c>
      <c r="G407" s="20">
        <v>11895</v>
      </c>
      <c r="H407" t="s">
        <v>121</v>
      </c>
    </row>
    <row r="408" spans="1:8" x14ac:dyDescent="0.2">
      <c r="A408" t="s">
        <v>95</v>
      </c>
      <c r="B408" t="s">
        <v>52</v>
      </c>
      <c r="C408" t="s">
        <v>111</v>
      </c>
      <c r="D408" t="s">
        <v>5</v>
      </c>
      <c r="E408" t="s">
        <v>112</v>
      </c>
      <c r="F408">
        <v>2017</v>
      </c>
      <c r="G408" s="20">
        <v>18945</v>
      </c>
      <c r="H408" t="s">
        <v>121</v>
      </c>
    </row>
    <row r="409" spans="1:8" x14ac:dyDescent="0.2">
      <c r="A409" t="s">
        <v>95</v>
      </c>
      <c r="B409" t="s">
        <v>52</v>
      </c>
      <c r="C409" t="s">
        <v>111</v>
      </c>
      <c r="D409" t="s">
        <v>6</v>
      </c>
      <c r="E409" t="s">
        <v>112</v>
      </c>
      <c r="F409">
        <v>2017</v>
      </c>
      <c r="G409" s="20">
        <v>7282</v>
      </c>
      <c r="H409" t="s">
        <v>121</v>
      </c>
    </row>
    <row r="410" spans="1:8" x14ac:dyDescent="0.2">
      <c r="A410" t="s">
        <v>96</v>
      </c>
      <c r="B410" t="s">
        <v>7</v>
      </c>
      <c r="C410" t="s">
        <v>111</v>
      </c>
      <c r="D410" t="s">
        <v>5</v>
      </c>
      <c r="E410" t="s">
        <v>112</v>
      </c>
      <c r="F410">
        <v>2017</v>
      </c>
      <c r="G410" s="20">
        <v>17485</v>
      </c>
      <c r="H410" t="s">
        <v>113</v>
      </c>
    </row>
    <row r="411" spans="1:8" x14ac:dyDescent="0.2">
      <c r="A411" t="s">
        <v>96</v>
      </c>
      <c r="B411" t="s">
        <v>7</v>
      </c>
      <c r="C411" t="s">
        <v>111</v>
      </c>
      <c r="D411" t="s">
        <v>6</v>
      </c>
      <c r="E411" t="s">
        <v>112</v>
      </c>
      <c r="F411">
        <v>2017</v>
      </c>
      <c r="G411" s="20">
        <v>5113</v>
      </c>
      <c r="H411" t="s">
        <v>113</v>
      </c>
    </row>
    <row r="412" spans="1:8" x14ac:dyDescent="0.2">
      <c r="A412" t="s">
        <v>97</v>
      </c>
      <c r="B412" t="s">
        <v>7</v>
      </c>
      <c r="C412" t="s">
        <v>111</v>
      </c>
      <c r="D412" t="s">
        <v>5</v>
      </c>
      <c r="E412" t="s">
        <v>112</v>
      </c>
      <c r="F412">
        <v>2017</v>
      </c>
      <c r="G412" s="20">
        <v>30366</v>
      </c>
      <c r="H412" t="s">
        <v>113</v>
      </c>
    </row>
    <row r="413" spans="1:8" x14ac:dyDescent="0.2">
      <c r="A413" t="s">
        <v>97</v>
      </c>
      <c r="B413" t="s">
        <v>7</v>
      </c>
      <c r="C413" t="s">
        <v>111</v>
      </c>
      <c r="D413" t="s">
        <v>6</v>
      </c>
      <c r="E413" t="s">
        <v>112</v>
      </c>
      <c r="F413">
        <v>2017</v>
      </c>
      <c r="G413" s="20">
        <v>8706</v>
      </c>
      <c r="H413" t="s">
        <v>113</v>
      </c>
    </row>
    <row r="414" spans="1:8" x14ac:dyDescent="0.2">
      <c r="A414" t="s">
        <v>98</v>
      </c>
      <c r="B414" t="s">
        <v>7</v>
      </c>
      <c r="C414" t="s">
        <v>111</v>
      </c>
      <c r="D414" t="s">
        <v>5</v>
      </c>
      <c r="E414" t="s">
        <v>112</v>
      </c>
      <c r="F414">
        <v>2017</v>
      </c>
      <c r="G414" s="20">
        <v>13297</v>
      </c>
      <c r="H414" t="s">
        <v>121</v>
      </c>
    </row>
    <row r="415" spans="1:8" x14ac:dyDescent="0.2">
      <c r="A415" t="s">
        <v>98</v>
      </c>
      <c r="B415" t="s">
        <v>7</v>
      </c>
      <c r="C415" t="s">
        <v>111</v>
      </c>
      <c r="D415" t="s">
        <v>6</v>
      </c>
      <c r="E415" t="s">
        <v>112</v>
      </c>
      <c r="F415">
        <v>2017</v>
      </c>
      <c r="G415" s="20">
        <v>3417</v>
      </c>
      <c r="H415" t="s">
        <v>121</v>
      </c>
    </row>
    <row r="416" spans="1:8" x14ac:dyDescent="0.2">
      <c r="A416" t="s">
        <v>99</v>
      </c>
      <c r="B416" t="s">
        <v>13</v>
      </c>
      <c r="C416" t="s">
        <v>111</v>
      </c>
      <c r="D416" t="s">
        <v>5</v>
      </c>
      <c r="E416" t="s">
        <v>112</v>
      </c>
      <c r="F416">
        <v>2017</v>
      </c>
      <c r="G416" s="20">
        <v>98006</v>
      </c>
      <c r="H416" t="s">
        <v>121</v>
      </c>
    </row>
    <row r="417" spans="1:8" x14ac:dyDescent="0.2">
      <c r="A417" t="s">
        <v>99</v>
      </c>
      <c r="B417" t="s">
        <v>13</v>
      </c>
      <c r="C417" t="s">
        <v>111</v>
      </c>
      <c r="D417" t="s">
        <v>6</v>
      </c>
      <c r="E417" t="s">
        <v>112</v>
      </c>
      <c r="F417">
        <v>2017</v>
      </c>
      <c r="G417" s="20">
        <v>31148</v>
      </c>
      <c r="H417" t="s">
        <v>121</v>
      </c>
    </row>
    <row r="418" spans="1:8" x14ac:dyDescent="0.2">
      <c r="A418" t="s">
        <v>63</v>
      </c>
      <c r="B418" t="s">
        <v>7</v>
      </c>
      <c r="C418" t="s">
        <v>111</v>
      </c>
      <c r="D418" t="s">
        <v>5</v>
      </c>
      <c r="E418" t="s">
        <v>112</v>
      </c>
      <c r="F418">
        <v>2016</v>
      </c>
      <c r="G418" s="20">
        <v>1031</v>
      </c>
      <c r="H418" t="s">
        <v>113</v>
      </c>
    </row>
    <row r="419" spans="1:8" x14ac:dyDescent="0.2">
      <c r="A419" t="s">
        <v>63</v>
      </c>
      <c r="B419" t="s">
        <v>7</v>
      </c>
      <c r="C419" t="s">
        <v>111</v>
      </c>
      <c r="D419" t="s">
        <v>6</v>
      </c>
      <c r="E419" t="s">
        <v>112</v>
      </c>
      <c r="F419">
        <v>2016</v>
      </c>
      <c r="G419" s="19" t="s">
        <v>118</v>
      </c>
      <c r="H419" t="s">
        <v>113</v>
      </c>
    </row>
    <row r="420" spans="1:8" x14ac:dyDescent="0.2">
      <c r="A420" t="s">
        <v>64</v>
      </c>
      <c r="B420" t="s">
        <v>7</v>
      </c>
      <c r="C420" t="s">
        <v>111</v>
      </c>
      <c r="D420" t="s">
        <v>5</v>
      </c>
      <c r="E420" t="s">
        <v>112</v>
      </c>
      <c r="F420">
        <v>2016</v>
      </c>
      <c r="G420" s="19" t="s">
        <v>12</v>
      </c>
      <c r="H420" t="s">
        <v>113</v>
      </c>
    </row>
    <row r="421" spans="1:8" x14ac:dyDescent="0.2">
      <c r="A421" t="s">
        <v>64</v>
      </c>
      <c r="B421" t="s">
        <v>7</v>
      </c>
      <c r="C421" t="s">
        <v>111</v>
      </c>
      <c r="D421" t="s">
        <v>6</v>
      </c>
      <c r="E421" t="s">
        <v>112</v>
      </c>
      <c r="F421">
        <v>2016</v>
      </c>
      <c r="G421" s="20">
        <v>16339</v>
      </c>
      <c r="H421" t="s">
        <v>113</v>
      </c>
    </row>
    <row r="422" spans="1:8" x14ac:dyDescent="0.2">
      <c r="A422" t="s">
        <v>65</v>
      </c>
      <c r="B422" t="s">
        <v>13</v>
      </c>
      <c r="C422" t="s">
        <v>111</v>
      </c>
      <c r="D422" t="s">
        <v>5</v>
      </c>
      <c r="E422" t="s">
        <v>112</v>
      </c>
      <c r="F422">
        <v>2016</v>
      </c>
      <c r="G422" s="20">
        <v>63339</v>
      </c>
      <c r="H422" t="s">
        <v>121</v>
      </c>
    </row>
    <row r="423" spans="1:8" x14ac:dyDescent="0.2">
      <c r="A423" t="s">
        <v>65</v>
      </c>
      <c r="B423" t="s">
        <v>13</v>
      </c>
      <c r="C423" t="s">
        <v>111</v>
      </c>
      <c r="D423" t="s">
        <v>6</v>
      </c>
      <c r="E423" t="s">
        <v>112</v>
      </c>
      <c r="F423">
        <v>2016</v>
      </c>
      <c r="G423" s="20">
        <v>12351</v>
      </c>
      <c r="H423" t="s">
        <v>121</v>
      </c>
    </row>
    <row r="424" spans="1:8" x14ac:dyDescent="0.2">
      <c r="A424" t="s">
        <v>66</v>
      </c>
      <c r="B424" t="s">
        <v>13</v>
      </c>
      <c r="C424" t="s">
        <v>111</v>
      </c>
      <c r="D424" t="s">
        <v>5</v>
      </c>
      <c r="E424" t="s">
        <v>112</v>
      </c>
      <c r="F424">
        <v>2016</v>
      </c>
      <c r="G424" s="20">
        <v>25572</v>
      </c>
      <c r="H424" t="s">
        <v>121</v>
      </c>
    </row>
    <row r="425" spans="1:8" x14ac:dyDescent="0.2">
      <c r="A425" t="s">
        <v>66</v>
      </c>
      <c r="B425" t="s">
        <v>13</v>
      </c>
      <c r="C425" t="s">
        <v>111</v>
      </c>
      <c r="D425" t="s">
        <v>6</v>
      </c>
      <c r="E425" t="s">
        <v>112</v>
      </c>
      <c r="F425">
        <v>2016</v>
      </c>
      <c r="G425" s="20">
        <v>11944</v>
      </c>
      <c r="H425" t="s">
        <v>121</v>
      </c>
    </row>
    <row r="426" spans="1:8" x14ac:dyDescent="0.2">
      <c r="A426" t="s">
        <v>67</v>
      </c>
      <c r="B426" t="s">
        <v>7</v>
      </c>
      <c r="C426" t="s">
        <v>111</v>
      </c>
      <c r="D426" t="s">
        <v>5</v>
      </c>
      <c r="E426" t="s">
        <v>112</v>
      </c>
      <c r="F426">
        <v>2016</v>
      </c>
      <c r="G426" s="20">
        <v>1307</v>
      </c>
      <c r="H426" t="s">
        <v>113</v>
      </c>
    </row>
    <row r="427" spans="1:8" x14ac:dyDescent="0.2">
      <c r="A427" t="s">
        <v>67</v>
      </c>
      <c r="B427" t="s">
        <v>7</v>
      </c>
      <c r="C427" t="s">
        <v>111</v>
      </c>
      <c r="D427" t="s">
        <v>6</v>
      </c>
      <c r="E427" t="s">
        <v>112</v>
      </c>
      <c r="F427">
        <v>2016</v>
      </c>
      <c r="H427" t="s">
        <v>113</v>
      </c>
    </row>
    <row r="428" spans="1:8" x14ac:dyDescent="0.2">
      <c r="A428" t="s">
        <v>68</v>
      </c>
      <c r="B428" t="s">
        <v>7</v>
      </c>
      <c r="C428" t="s">
        <v>111</v>
      </c>
      <c r="D428" t="s">
        <v>5</v>
      </c>
      <c r="E428" t="s">
        <v>112</v>
      </c>
      <c r="F428">
        <v>2016</v>
      </c>
      <c r="G428" s="20">
        <v>19877</v>
      </c>
      <c r="H428" t="s">
        <v>126</v>
      </c>
    </row>
    <row r="429" spans="1:8" x14ac:dyDescent="0.2">
      <c r="A429" t="s">
        <v>68</v>
      </c>
      <c r="B429" t="s">
        <v>7</v>
      </c>
      <c r="C429" t="s">
        <v>111</v>
      </c>
      <c r="D429" t="s">
        <v>6</v>
      </c>
      <c r="E429" t="s">
        <v>112</v>
      </c>
      <c r="F429">
        <v>2016</v>
      </c>
      <c r="G429" s="20">
        <v>9601</v>
      </c>
      <c r="H429" t="s">
        <v>126</v>
      </c>
    </row>
    <row r="430" spans="1:8" x14ac:dyDescent="0.2">
      <c r="A430" t="s">
        <v>69</v>
      </c>
      <c r="B430" t="s">
        <v>7</v>
      </c>
      <c r="C430" t="s">
        <v>111</v>
      </c>
      <c r="D430" t="s">
        <v>5</v>
      </c>
      <c r="E430" t="s">
        <v>112</v>
      </c>
      <c r="F430">
        <v>2016</v>
      </c>
      <c r="G430" s="20">
        <v>68769</v>
      </c>
      <c r="H430" t="s">
        <v>113</v>
      </c>
    </row>
    <row r="431" spans="1:8" x14ac:dyDescent="0.2">
      <c r="A431" t="s">
        <v>69</v>
      </c>
      <c r="B431" t="s">
        <v>7</v>
      </c>
      <c r="C431" t="s">
        <v>111</v>
      </c>
      <c r="D431" t="s">
        <v>6</v>
      </c>
      <c r="E431" t="s">
        <v>112</v>
      </c>
      <c r="F431">
        <v>2016</v>
      </c>
      <c r="G431" s="20">
        <v>17063</v>
      </c>
      <c r="H431" t="s">
        <v>113</v>
      </c>
    </row>
    <row r="432" spans="1:8" x14ac:dyDescent="0.2">
      <c r="A432" t="s">
        <v>71</v>
      </c>
      <c r="B432" t="s">
        <v>17</v>
      </c>
      <c r="C432" t="s">
        <v>111</v>
      </c>
      <c r="D432" t="s">
        <v>5</v>
      </c>
      <c r="E432" t="s">
        <v>112</v>
      </c>
      <c r="F432">
        <v>2016</v>
      </c>
      <c r="G432" s="20">
        <v>68923</v>
      </c>
      <c r="H432" t="s">
        <v>113</v>
      </c>
    </row>
    <row r="433" spans="1:8" x14ac:dyDescent="0.2">
      <c r="A433" t="s">
        <v>71</v>
      </c>
      <c r="B433" t="s">
        <v>17</v>
      </c>
      <c r="C433" t="s">
        <v>111</v>
      </c>
      <c r="D433" t="s">
        <v>6</v>
      </c>
      <c r="E433" t="s">
        <v>112</v>
      </c>
      <c r="F433">
        <v>2016</v>
      </c>
      <c r="G433" s="20">
        <v>10134</v>
      </c>
      <c r="H433" t="s">
        <v>113</v>
      </c>
    </row>
    <row r="434" spans="1:8" x14ac:dyDescent="0.2">
      <c r="A434" t="s">
        <v>72</v>
      </c>
      <c r="B434" t="s">
        <v>13</v>
      </c>
      <c r="C434" t="s">
        <v>111</v>
      </c>
      <c r="D434" t="s">
        <v>5</v>
      </c>
      <c r="E434" t="s">
        <v>112</v>
      </c>
      <c r="F434">
        <v>2016</v>
      </c>
      <c r="G434" s="20">
        <v>379705</v>
      </c>
      <c r="H434" t="s">
        <v>121</v>
      </c>
    </row>
    <row r="435" spans="1:8" x14ac:dyDescent="0.2">
      <c r="A435" t="s">
        <v>72</v>
      </c>
      <c r="B435" t="s">
        <v>13</v>
      </c>
      <c r="C435" t="s">
        <v>111</v>
      </c>
      <c r="D435" t="s">
        <v>6</v>
      </c>
      <c r="E435" t="s">
        <v>112</v>
      </c>
      <c r="F435">
        <v>2016</v>
      </c>
      <c r="G435" s="20">
        <v>115946</v>
      </c>
      <c r="H435" t="s">
        <v>121</v>
      </c>
    </row>
    <row r="436" spans="1:8" x14ac:dyDescent="0.2">
      <c r="A436" t="s">
        <v>73</v>
      </c>
      <c r="B436" t="s">
        <v>13</v>
      </c>
      <c r="C436" t="s">
        <v>111</v>
      </c>
      <c r="D436" t="s">
        <v>5</v>
      </c>
      <c r="E436" t="s">
        <v>112</v>
      </c>
      <c r="F436">
        <v>2016</v>
      </c>
      <c r="G436" s="20">
        <v>49608</v>
      </c>
      <c r="H436" t="s">
        <v>121</v>
      </c>
    </row>
    <row r="437" spans="1:8" x14ac:dyDescent="0.2">
      <c r="A437" t="s">
        <v>73</v>
      </c>
      <c r="B437" t="s">
        <v>13</v>
      </c>
      <c r="C437" t="s">
        <v>111</v>
      </c>
      <c r="D437" t="s">
        <v>6</v>
      </c>
      <c r="E437" t="s">
        <v>112</v>
      </c>
      <c r="F437">
        <v>2016</v>
      </c>
      <c r="G437" s="20">
        <v>13996</v>
      </c>
      <c r="H437" t="s">
        <v>121</v>
      </c>
    </row>
    <row r="438" spans="1:8" x14ac:dyDescent="0.2">
      <c r="A438" t="s">
        <v>74</v>
      </c>
      <c r="B438" t="s">
        <v>13</v>
      </c>
      <c r="C438" t="s">
        <v>111</v>
      </c>
      <c r="D438" t="s">
        <v>5</v>
      </c>
      <c r="E438" t="s">
        <v>112</v>
      </c>
      <c r="F438">
        <v>2016</v>
      </c>
      <c r="G438" s="20">
        <v>200964</v>
      </c>
      <c r="H438" t="s">
        <v>121</v>
      </c>
    </row>
    <row r="439" spans="1:8" x14ac:dyDescent="0.2">
      <c r="A439" t="s">
        <v>74</v>
      </c>
      <c r="B439" t="s">
        <v>13</v>
      </c>
      <c r="C439" t="s">
        <v>111</v>
      </c>
      <c r="D439" t="s">
        <v>6</v>
      </c>
      <c r="E439" t="s">
        <v>112</v>
      </c>
      <c r="F439">
        <v>2016</v>
      </c>
      <c r="G439" s="20">
        <v>65805</v>
      </c>
      <c r="H439" t="s">
        <v>121</v>
      </c>
    </row>
    <row r="440" spans="1:8" x14ac:dyDescent="0.2">
      <c r="A440" t="s">
        <v>75</v>
      </c>
      <c r="B440" t="s">
        <v>7</v>
      </c>
      <c r="C440" t="s">
        <v>111</v>
      </c>
      <c r="D440" t="s">
        <v>5</v>
      </c>
      <c r="E440" t="s">
        <v>112</v>
      </c>
      <c r="F440">
        <v>2016</v>
      </c>
      <c r="G440" s="20">
        <v>12278</v>
      </c>
      <c r="H440" t="s">
        <v>121</v>
      </c>
    </row>
    <row r="441" spans="1:8" x14ac:dyDescent="0.2">
      <c r="A441" t="s">
        <v>75</v>
      </c>
      <c r="B441" t="s">
        <v>7</v>
      </c>
      <c r="C441" t="s">
        <v>111</v>
      </c>
      <c r="D441" t="s">
        <v>6</v>
      </c>
      <c r="E441" t="s">
        <v>112</v>
      </c>
      <c r="F441">
        <v>2016</v>
      </c>
      <c r="G441" s="20">
        <v>3247</v>
      </c>
      <c r="H441" t="s">
        <v>121</v>
      </c>
    </row>
    <row r="442" spans="1:8" x14ac:dyDescent="0.2">
      <c r="A442" t="s">
        <v>76</v>
      </c>
      <c r="B442" t="s">
        <v>13</v>
      </c>
      <c r="C442" t="s">
        <v>111</v>
      </c>
      <c r="D442" t="s">
        <v>5</v>
      </c>
      <c r="E442" t="s">
        <v>112</v>
      </c>
      <c r="F442">
        <v>2016</v>
      </c>
      <c r="G442" s="20">
        <v>46081</v>
      </c>
      <c r="H442" t="s">
        <v>121</v>
      </c>
    </row>
    <row r="443" spans="1:8" x14ac:dyDescent="0.2">
      <c r="A443" t="s">
        <v>76</v>
      </c>
      <c r="B443" t="s">
        <v>13</v>
      </c>
      <c r="C443" t="s">
        <v>111</v>
      </c>
      <c r="D443" t="s">
        <v>6</v>
      </c>
      <c r="E443" t="s">
        <v>112</v>
      </c>
      <c r="F443">
        <v>2016</v>
      </c>
      <c r="G443" s="19" t="s">
        <v>27</v>
      </c>
      <c r="H443" t="s">
        <v>121</v>
      </c>
    </row>
    <row r="444" spans="1:8" x14ac:dyDescent="0.2">
      <c r="A444" t="s">
        <v>77</v>
      </c>
      <c r="B444" t="s">
        <v>4</v>
      </c>
      <c r="C444" t="s">
        <v>111</v>
      </c>
      <c r="D444" t="s">
        <v>5</v>
      </c>
      <c r="E444" t="s">
        <v>112</v>
      </c>
      <c r="F444">
        <v>2016</v>
      </c>
      <c r="G444" s="19" t="s">
        <v>30</v>
      </c>
      <c r="H444" t="s">
        <v>113</v>
      </c>
    </row>
    <row r="445" spans="1:8" x14ac:dyDescent="0.2">
      <c r="A445" t="s">
        <v>77</v>
      </c>
      <c r="B445" t="s">
        <v>4</v>
      </c>
      <c r="C445" t="s">
        <v>111</v>
      </c>
      <c r="D445" t="s">
        <v>6</v>
      </c>
      <c r="E445" t="s">
        <v>112</v>
      </c>
      <c r="F445">
        <v>2016</v>
      </c>
      <c r="G445" s="20">
        <v>76563</v>
      </c>
      <c r="H445" t="s">
        <v>113</v>
      </c>
    </row>
    <row r="446" spans="1:8" x14ac:dyDescent="0.2">
      <c r="A446" t="s">
        <v>78</v>
      </c>
      <c r="B446" t="s">
        <v>7</v>
      </c>
      <c r="C446" t="s">
        <v>111</v>
      </c>
      <c r="D446" t="s">
        <v>5</v>
      </c>
      <c r="E446" t="s">
        <v>112</v>
      </c>
      <c r="F446">
        <v>2016</v>
      </c>
      <c r="G446" s="20">
        <v>517099</v>
      </c>
      <c r="H446" t="s">
        <v>113</v>
      </c>
    </row>
    <row r="447" spans="1:8" x14ac:dyDescent="0.2">
      <c r="A447" t="s">
        <v>78</v>
      </c>
      <c r="B447" t="s">
        <v>7</v>
      </c>
      <c r="C447" t="s">
        <v>111</v>
      </c>
      <c r="D447" t="s">
        <v>6</v>
      </c>
      <c r="E447" t="s">
        <v>112</v>
      </c>
      <c r="F447">
        <v>2016</v>
      </c>
      <c r="G447" s="20">
        <v>143796</v>
      </c>
      <c r="H447" t="s">
        <v>113</v>
      </c>
    </row>
    <row r="448" spans="1:8" x14ac:dyDescent="0.2">
      <c r="A448" t="s">
        <v>79</v>
      </c>
      <c r="B448" t="s">
        <v>7</v>
      </c>
      <c r="C448" t="s">
        <v>111</v>
      </c>
      <c r="D448" t="s">
        <v>5</v>
      </c>
      <c r="E448" t="s">
        <v>112</v>
      </c>
      <c r="F448">
        <v>2016</v>
      </c>
      <c r="G448" s="20">
        <v>15281</v>
      </c>
      <c r="H448" t="s">
        <v>113</v>
      </c>
    </row>
    <row r="449" spans="1:8" x14ac:dyDescent="0.2">
      <c r="A449" t="s">
        <v>79</v>
      </c>
      <c r="B449" t="s">
        <v>7</v>
      </c>
      <c r="C449" t="s">
        <v>111</v>
      </c>
      <c r="D449" t="s">
        <v>6</v>
      </c>
      <c r="E449" t="s">
        <v>112</v>
      </c>
      <c r="F449">
        <v>2016</v>
      </c>
      <c r="G449" s="20">
        <v>4609</v>
      </c>
      <c r="H449" t="s">
        <v>113</v>
      </c>
    </row>
    <row r="450" spans="1:8" x14ac:dyDescent="0.2">
      <c r="A450" t="s">
        <v>80</v>
      </c>
      <c r="B450" t="s">
        <v>13</v>
      </c>
      <c r="C450" t="s">
        <v>111</v>
      </c>
      <c r="D450" t="s">
        <v>5</v>
      </c>
      <c r="E450" t="s">
        <v>112</v>
      </c>
      <c r="F450">
        <v>2016</v>
      </c>
      <c r="G450" s="20">
        <v>10974</v>
      </c>
      <c r="H450" t="s">
        <v>121</v>
      </c>
    </row>
    <row r="451" spans="1:8" x14ac:dyDescent="0.2">
      <c r="A451" t="s">
        <v>80</v>
      </c>
      <c r="B451" t="s">
        <v>13</v>
      </c>
      <c r="C451" t="s">
        <v>111</v>
      </c>
      <c r="D451" t="s">
        <v>6</v>
      </c>
      <c r="E451" t="s">
        <v>112</v>
      </c>
      <c r="F451">
        <v>2016</v>
      </c>
      <c r="G451" s="20">
        <v>5279</v>
      </c>
      <c r="H451" t="s">
        <v>121</v>
      </c>
    </row>
    <row r="452" spans="1:8" x14ac:dyDescent="0.2">
      <c r="A452" t="s">
        <v>81</v>
      </c>
      <c r="B452" t="s">
        <v>7</v>
      </c>
      <c r="C452" t="s">
        <v>111</v>
      </c>
      <c r="D452" t="s">
        <v>5</v>
      </c>
      <c r="E452" t="s">
        <v>112</v>
      </c>
      <c r="F452">
        <v>2016</v>
      </c>
      <c r="G452" s="20">
        <v>42364</v>
      </c>
      <c r="H452" t="s">
        <v>121</v>
      </c>
    </row>
    <row r="453" spans="1:8" x14ac:dyDescent="0.2">
      <c r="A453" t="s">
        <v>81</v>
      </c>
      <c r="B453" t="s">
        <v>7</v>
      </c>
      <c r="C453" t="s">
        <v>111</v>
      </c>
      <c r="D453" t="s">
        <v>6</v>
      </c>
      <c r="E453" t="s">
        <v>112</v>
      </c>
      <c r="F453">
        <v>2016</v>
      </c>
      <c r="G453" s="20">
        <v>14877</v>
      </c>
      <c r="H453" t="s">
        <v>121</v>
      </c>
    </row>
    <row r="454" spans="1:8" x14ac:dyDescent="0.2">
      <c r="A454" t="s">
        <v>82</v>
      </c>
      <c r="B454" t="s">
        <v>13</v>
      </c>
      <c r="C454" t="s">
        <v>111</v>
      </c>
      <c r="D454" t="s">
        <v>5</v>
      </c>
      <c r="E454" t="s">
        <v>112</v>
      </c>
      <c r="F454">
        <v>2016</v>
      </c>
      <c r="G454" s="19" t="s">
        <v>41</v>
      </c>
      <c r="H454" t="s">
        <v>121</v>
      </c>
    </row>
    <row r="455" spans="1:8" x14ac:dyDescent="0.2">
      <c r="A455" t="s">
        <v>82</v>
      </c>
      <c r="B455" t="s">
        <v>13</v>
      </c>
      <c r="C455" t="s">
        <v>111</v>
      </c>
      <c r="D455" t="s">
        <v>6</v>
      </c>
      <c r="E455" t="s">
        <v>112</v>
      </c>
      <c r="F455">
        <v>2016</v>
      </c>
      <c r="G455" s="20">
        <v>20487</v>
      </c>
      <c r="H455" t="s">
        <v>121</v>
      </c>
    </row>
    <row r="456" spans="1:8" x14ac:dyDescent="0.2">
      <c r="A456" t="s">
        <v>83</v>
      </c>
      <c r="B456" t="s">
        <v>13</v>
      </c>
      <c r="C456" t="s">
        <v>111</v>
      </c>
      <c r="D456" t="s">
        <v>5</v>
      </c>
      <c r="E456" t="s">
        <v>112</v>
      </c>
      <c r="F456">
        <v>2016</v>
      </c>
      <c r="G456" s="20">
        <v>3038</v>
      </c>
      <c r="H456" t="s">
        <v>121</v>
      </c>
    </row>
    <row r="457" spans="1:8" x14ac:dyDescent="0.2">
      <c r="A457" t="s">
        <v>83</v>
      </c>
      <c r="B457" t="s">
        <v>13</v>
      </c>
      <c r="C457" t="s">
        <v>111</v>
      </c>
      <c r="D457" t="s">
        <v>6</v>
      </c>
      <c r="E457" t="s">
        <v>112</v>
      </c>
      <c r="F457">
        <v>2016</v>
      </c>
      <c r="G457" s="20">
        <v>1238</v>
      </c>
      <c r="H457" t="s">
        <v>121</v>
      </c>
    </row>
    <row r="458" spans="1:8" x14ac:dyDescent="0.2">
      <c r="A458" t="s">
        <v>84</v>
      </c>
      <c r="B458" t="s">
        <v>13</v>
      </c>
      <c r="C458" t="s">
        <v>111</v>
      </c>
      <c r="D458" t="s">
        <v>5</v>
      </c>
      <c r="E458" t="s">
        <v>112</v>
      </c>
      <c r="F458">
        <v>2016</v>
      </c>
      <c r="G458" s="20">
        <v>209337</v>
      </c>
      <c r="H458" t="s">
        <v>121</v>
      </c>
    </row>
    <row r="459" spans="1:8" x14ac:dyDescent="0.2">
      <c r="A459" t="s">
        <v>84</v>
      </c>
      <c r="B459" t="s">
        <v>13</v>
      </c>
      <c r="C459" t="s">
        <v>111</v>
      </c>
      <c r="D459" t="s">
        <v>6</v>
      </c>
      <c r="E459" t="s">
        <v>112</v>
      </c>
      <c r="F459">
        <v>2016</v>
      </c>
      <c r="G459" s="20">
        <v>63231</v>
      </c>
      <c r="H459" t="s">
        <v>121</v>
      </c>
    </row>
    <row r="460" spans="1:8" x14ac:dyDescent="0.2">
      <c r="A460" t="s">
        <v>85</v>
      </c>
      <c r="B460" t="s">
        <v>7</v>
      </c>
      <c r="C460" t="s">
        <v>111</v>
      </c>
      <c r="D460" t="s">
        <v>5</v>
      </c>
      <c r="E460" t="s">
        <v>112</v>
      </c>
      <c r="F460">
        <v>2016</v>
      </c>
      <c r="G460" s="19" t="s">
        <v>133</v>
      </c>
      <c r="H460" t="s">
        <v>113</v>
      </c>
    </row>
    <row r="461" spans="1:8" x14ac:dyDescent="0.2">
      <c r="A461" t="s">
        <v>85</v>
      </c>
      <c r="B461" t="s">
        <v>7</v>
      </c>
      <c r="C461" t="s">
        <v>111</v>
      </c>
      <c r="D461" t="s">
        <v>6</v>
      </c>
      <c r="E461" t="s">
        <v>112</v>
      </c>
      <c r="F461">
        <v>2016</v>
      </c>
      <c r="H461" t="s">
        <v>113</v>
      </c>
    </row>
    <row r="462" spans="1:8" x14ac:dyDescent="0.2">
      <c r="A462" t="s">
        <v>86</v>
      </c>
      <c r="B462" t="s">
        <v>13</v>
      </c>
      <c r="C462" t="s">
        <v>111</v>
      </c>
      <c r="D462" t="s">
        <v>5</v>
      </c>
      <c r="E462" t="s">
        <v>112</v>
      </c>
      <c r="F462">
        <v>2016</v>
      </c>
      <c r="G462" s="20">
        <v>8013</v>
      </c>
      <c r="H462" t="s">
        <v>121</v>
      </c>
    </row>
    <row r="463" spans="1:8" x14ac:dyDescent="0.2">
      <c r="A463" t="s">
        <v>86</v>
      </c>
      <c r="B463" t="s">
        <v>13</v>
      </c>
      <c r="C463" t="s">
        <v>111</v>
      </c>
      <c r="D463" t="s">
        <v>6</v>
      </c>
      <c r="E463" t="s">
        <v>112</v>
      </c>
      <c r="F463">
        <v>2016</v>
      </c>
      <c r="G463" s="20">
        <v>5473</v>
      </c>
      <c r="H463" t="s">
        <v>121</v>
      </c>
    </row>
    <row r="464" spans="1:8" x14ac:dyDescent="0.2">
      <c r="A464" t="s">
        <v>87</v>
      </c>
      <c r="B464" t="s">
        <v>13</v>
      </c>
      <c r="C464" t="s">
        <v>111</v>
      </c>
      <c r="D464" t="s">
        <v>5</v>
      </c>
      <c r="E464" t="s">
        <v>112</v>
      </c>
      <c r="F464">
        <v>2016</v>
      </c>
      <c r="G464" s="20">
        <v>2365</v>
      </c>
      <c r="H464" t="s">
        <v>121</v>
      </c>
    </row>
    <row r="465" spans="1:8" x14ac:dyDescent="0.2">
      <c r="A465" t="s">
        <v>87</v>
      </c>
      <c r="B465" t="s">
        <v>13</v>
      </c>
      <c r="C465" t="s">
        <v>111</v>
      </c>
      <c r="D465" t="s">
        <v>6</v>
      </c>
      <c r="E465" t="s">
        <v>112</v>
      </c>
      <c r="F465">
        <v>2016</v>
      </c>
      <c r="G465" s="19" t="s">
        <v>138</v>
      </c>
      <c r="H465" t="s">
        <v>121</v>
      </c>
    </row>
    <row r="466" spans="1:8" x14ac:dyDescent="0.2">
      <c r="A466" t="s">
        <v>88</v>
      </c>
      <c r="B466" t="s">
        <v>13</v>
      </c>
      <c r="C466" t="s">
        <v>111</v>
      </c>
      <c r="D466" t="s">
        <v>5</v>
      </c>
      <c r="E466" t="s">
        <v>112</v>
      </c>
      <c r="F466">
        <v>2016</v>
      </c>
      <c r="G466" s="20">
        <v>8143</v>
      </c>
      <c r="H466" t="s">
        <v>121</v>
      </c>
    </row>
    <row r="467" spans="1:8" x14ac:dyDescent="0.2">
      <c r="A467" t="s">
        <v>88</v>
      </c>
      <c r="B467" t="s">
        <v>13</v>
      </c>
      <c r="C467" t="s">
        <v>111</v>
      </c>
      <c r="D467" t="s">
        <v>6</v>
      </c>
      <c r="E467" t="s">
        <v>112</v>
      </c>
      <c r="F467">
        <v>2016</v>
      </c>
      <c r="G467" s="20">
        <v>2752</v>
      </c>
      <c r="H467" t="s">
        <v>121</v>
      </c>
    </row>
    <row r="468" spans="1:8" x14ac:dyDescent="0.2">
      <c r="A468" t="s">
        <v>89</v>
      </c>
      <c r="B468" t="s">
        <v>7</v>
      </c>
      <c r="C468" t="s">
        <v>111</v>
      </c>
      <c r="D468" t="s">
        <v>5</v>
      </c>
      <c r="E468" t="s">
        <v>112</v>
      </c>
      <c r="F468">
        <v>2016</v>
      </c>
      <c r="G468" s="20">
        <v>3075</v>
      </c>
      <c r="H468" t="s">
        <v>113</v>
      </c>
    </row>
    <row r="469" spans="1:8" x14ac:dyDescent="0.2">
      <c r="A469" t="s">
        <v>89</v>
      </c>
      <c r="B469" t="s">
        <v>7</v>
      </c>
      <c r="C469" t="s">
        <v>111</v>
      </c>
      <c r="D469" t="s">
        <v>6</v>
      </c>
      <c r="E469" t="s">
        <v>112</v>
      </c>
      <c r="F469">
        <v>2016</v>
      </c>
      <c r="G469" s="20">
        <v>1628</v>
      </c>
      <c r="H469" t="s">
        <v>113</v>
      </c>
    </row>
    <row r="470" spans="1:8" x14ac:dyDescent="0.2">
      <c r="A470" t="s">
        <v>90</v>
      </c>
      <c r="B470" t="s">
        <v>7</v>
      </c>
      <c r="C470" t="s">
        <v>111</v>
      </c>
      <c r="D470" t="s">
        <v>5</v>
      </c>
      <c r="E470" t="s">
        <v>112</v>
      </c>
      <c r="F470">
        <v>2016</v>
      </c>
      <c r="G470" s="20">
        <v>3034</v>
      </c>
      <c r="H470" t="s">
        <v>121</v>
      </c>
    </row>
    <row r="471" spans="1:8" x14ac:dyDescent="0.2">
      <c r="A471" t="s">
        <v>90</v>
      </c>
      <c r="B471" t="s">
        <v>7</v>
      </c>
      <c r="C471" t="s">
        <v>111</v>
      </c>
      <c r="D471" t="s">
        <v>6</v>
      </c>
      <c r="E471" t="s">
        <v>112</v>
      </c>
      <c r="F471">
        <v>2016</v>
      </c>
      <c r="G471" s="19" t="s">
        <v>146</v>
      </c>
      <c r="H471" t="s">
        <v>121</v>
      </c>
    </row>
    <row r="472" spans="1:8" x14ac:dyDescent="0.2">
      <c r="A472" t="s">
        <v>91</v>
      </c>
      <c r="B472" t="s">
        <v>13</v>
      </c>
      <c r="C472" t="s">
        <v>111</v>
      </c>
      <c r="D472" t="s">
        <v>5</v>
      </c>
      <c r="E472" t="s">
        <v>112</v>
      </c>
      <c r="F472">
        <v>2016</v>
      </c>
      <c r="G472" s="20">
        <v>135845</v>
      </c>
      <c r="H472" t="s">
        <v>121</v>
      </c>
    </row>
    <row r="473" spans="1:8" x14ac:dyDescent="0.2">
      <c r="A473" t="s">
        <v>91</v>
      </c>
      <c r="B473" t="s">
        <v>13</v>
      </c>
      <c r="C473" t="s">
        <v>111</v>
      </c>
      <c r="D473" t="s">
        <v>6</v>
      </c>
      <c r="E473" t="s">
        <v>112</v>
      </c>
      <c r="F473">
        <v>2016</v>
      </c>
      <c r="G473" s="20">
        <v>30198</v>
      </c>
      <c r="H473" t="s">
        <v>121</v>
      </c>
    </row>
    <row r="474" spans="1:8" x14ac:dyDescent="0.2">
      <c r="A474" t="s">
        <v>92</v>
      </c>
      <c r="B474" t="s">
        <v>13</v>
      </c>
      <c r="C474" t="s">
        <v>111</v>
      </c>
      <c r="D474" t="s">
        <v>5</v>
      </c>
      <c r="E474" t="s">
        <v>112</v>
      </c>
      <c r="F474">
        <v>2016</v>
      </c>
      <c r="G474" s="20">
        <v>33214</v>
      </c>
      <c r="H474" t="s">
        <v>121</v>
      </c>
    </row>
    <row r="475" spans="1:8" x14ac:dyDescent="0.2">
      <c r="A475" t="s">
        <v>92</v>
      </c>
      <c r="B475" t="s">
        <v>13</v>
      </c>
      <c r="C475" t="s">
        <v>111</v>
      </c>
      <c r="D475" t="s">
        <v>6</v>
      </c>
      <c r="E475" t="s">
        <v>112</v>
      </c>
      <c r="F475">
        <v>2016</v>
      </c>
      <c r="G475" s="20">
        <v>8394</v>
      </c>
      <c r="H475" t="s">
        <v>121</v>
      </c>
    </row>
    <row r="476" spans="1:8" x14ac:dyDescent="0.2">
      <c r="A476" t="s">
        <v>93</v>
      </c>
      <c r="B476" t="s">
        <v>13</v>
      </c>
      <c r="C476" t="s">
        <v>111</v>
      </c>
      <c r="D476" t="s">
        <v>5</v>
      </c>
      <c r="E476" t="s">
        <v>112</v>
      </c>
      <c r="F476">
        <v>2016</v>
      </c>
      <c r="G476" s="20">
        <v>138224</v>
      </c>
      <c r="H476" t="s">
        <v>121</v>
      </c>
    </row>
    <row r="477" spans="1:8" x14ac:dyDescent="0.2">
      <c r="A477" t="s">
        <v>93</v>
      </c>
      <c r="B477" t="s">
        <v>13</v>
      </c>
      <c r="C477" t="s">
        <v>111</v>
      </c>
      <c r="D477" t="s">
        <v>6</v>
      </c>
      <c r="E477" t="s">
        <v>112</v>
      </c>
      <c r="F477">
        <v>2016</v>
      </c>
      <c r="G477" s="20">
        <v>36771</v>
      </c>
      <c r="H477" t="s">
        <v>121</v>
      </c>
    </row>
    <row r="478" spans="1:8" x14ac:dyDescent="0.2">
      <c r="A478" t="s">
        <v>94</v>
      </c>
      <c r="B478" t="s">
        <v>13</v>
      </c>
      <c r="C478" t="s">
        <v>111</v>
      </c>
      <c r="D478" t="s">
        <v>5</v>
      </c>
      <c r="E478" t="s">
        <v>112</v>
      </c>
      <c r="F478">
        <v>2016</v>
      </c>
      <c r="G478" s="20">
        <v>37245</v>
      </c>
      <c r="H478" t="s">
        <v>121</v>
      </c>
    </row>
    <row r="479" spans="1:8" x14ac:dyDescent="0.2">
      <c r="A479" t="s">
        <v>94</v>
      </c>
      <c r="B479" t="s">
        <v>13</v>
      </c>
      <c r="C479" t="s">
        <v>111</v>
      </c>
      <c r="D479" t="s">
        <v>6</v>
      </c>
      <c r="E479" t="s">
        <v>112</v>
      </c>
      <c r="F479">
        <v>2016</v>
      </c>
      <c r="G479" s="20">
        <v>11809</v>
      </c>
      <c r="H479" t="s">
        <v>121</v>
      </c>
    </row>
    <row r="480" spans="1:8" x14ac:dyDescent="0.2">
      <c r="A480" t="s">
        <v>95</v>
      </c>
      <c r="B480" t="s">
        <v>52</v>
      </c>
      <c r="C480" t="s">
        <v>111</v>
      </c>
      <c r="D480" t="s">
        <v>5</v>
      </c>
      <c r="E480" t="s">
        <v>112</v>
      </c>
      <c r="F480">
        <v>2016</v>
      </c>
      <c r="G480" s="20">
        <v>23828</v>
      </c>
      <c r="H480" t="s">
        <v>121</v>
      </c>
    </row>
    <row r="481" spans="1:8" x14ac:dyDescent="0.2">
      <c r="A481" t="s">
        <v>95</v>
      </c>
      <c r="B481" t="s">
        <v>52</v>
      </c>
      <c r="C481" t="s">
        <v>111</v>
      </c>
      <c r="D481" t="s">
        <v>6</v>
      </c>
      <c r="E481" t="s">
        <v>112</v>
      </c>
      <c r="F481">
        <v>2016</v>
      </c>
      <c r="G481" s="20">
        <v>11208</v>
      </c>
      <c r="H481" t="s">
        <v>121</v>
      </c>
    </row>
    <row r="482" spans="1:8" x14ac:dyDescent="0.2">
      <c r="A482" t="s">
        <v>96</v>
      </c>
      <c r="B482" t="s">
        <v>7</v>
      </c>
      <c r="C482" t="s">
        <v>111</v>
      </c>
      <c r="D482" t="s">
        <v>5</v>
      </c>
      <c r="E482" t="s">
        <v>112</v>
      </c>
      <c r="F482">
        <v>2016</v>
      </c>
      <c r="G482" s="20">
        <v>13999</v>
      </c>
      <c r="H482" t="s">
        <v>113</v>
      </c>
    </row>
    <row r="483" spans="1:8" x14ac:dyDescent="0.2">
      <c r="A483" t="s">
        <v>96</v>
      </c>
      <c r="B483" t="s">
        <v>7</v>
      </c>
      <c r="C483" t="s">
        <v>111</v>
      </c>
      <c r="D483" t="s">
        <v>6</v>
      </c>
      <c r="E483" t="s">
        <v>112</v>
      </c>
      <c r="F483">
        <v>2016</v>
      </c>
      <c r="G483" s="20">
        <v>3572</v>
      </c>
      <c r="H483" t="s">
        <v>113</v>
      </c>
    </row>
    <row r="484" spans="1:8" x14ac:dyDescent="0.2">
      <c r="A484" t="s">
        <v>97</v>
      </c>
      <c r="B484" t="s">
        <v>7</v>
      </c>
      <c r="C484" t="s">
        <v>111</v>
      </c>
      <c r="D484" t="s">
        <v>5</v>
      </c>
      <c r="E484" t="s">
        <v>112</v>
      </c>
      <c r="F484">
        <v>2016</v>
      </c>
      <c r="G484" s="20">
        <v>7653</v>
      </c>
      <c r="H484" t="s">
        <v>113</v>
      </c>
    </row>
    <row r="485" spans="1:8" x14ac:dyDescent="0.2">
      <c r="A485" t="s">
        <v>97</v>
      </c>
      <c r="B485" t="s">
        <v>7</v>
      </c>
      <c r="C485" t="s">
        <v>111</v>
      </c>
      <c r="D485" t="s">
        <v>6</v>
      </c>
      <c r="E485" t="s">
        <v>112</v>
      </c>
      <c r="F485">
        <v>2016</v>
      </c>
      <c r="G485" s="20">
        <v>2021</v>
      </c>
      <c r="H485" t="s">
        <v>113</v>
      </c>
    </row>
    <row r="486" spans="1:8" x14ac:dyDescent="0.2">
      <c r="A486" t="s">
        <v>98</v>
      </c>
      <c r="B486" t="s">
        <v>7</v>
      </c>
      <c r="C486" t="s">
        <v>111</v>
      </c>
      <c r="D486" t="s">
        <v>5</v>
      </c>
      <c r="E486" t="s">
        <v>112</v>
      </c>
      <c r="F486">
        <v>2016</v>
      </c>
      <c r="G486" s="20">
        <v>10138</v>
      </c>
      <c r="H486" t="s">
        <v>121</v>
      </c>
    </row>
    <row r="487" spans="1:8" x14ac:dyDescent="0.2">
      <c r="A487" t="s">
        <v>98</v>
      </c>
      <c r="B487" t="s">
        <v>7</v>
      </c>
      <c r="C487" t="s">
        <v>111</v>
      </c>
      <c r="D487" t="s">
        <v>6</v>
      </c>
      <c r="E487" t="s">
        <v>112</v>
      </c>
      <c r="F487">
        <v>2016</v>
      </c>
      <c r="G487" s="20">
        <v>3294</v>
      </c>
      <c r="H487" t="s">
        <v>121</v>
      </c>
    </row>
    <row r="488" spans="1:8" x14ac:dyDescent="0.2">
      <c r="A488" t="s">
        <v>99</v>
      </c>
      <c r="B488" t="s">
        <v>13</v>
      </c>
      <c r="C488" t="s">
        <v>111</v>
      </c>
      <c r="D488" t="s">
        <v>5</v>
      </c>
      <c r="E488" t="s">
        <v>112</v>
      </c>
      <c r="F488">
        <v>2016</v>
      </c>
      <c r="G488" s="20">
        <v>90086</v>
      </c>
      <c r="H488" t="s">
        <v>121</v>
      </c>
    </row>
    <row r="489" spans="1:8" x14ac:dyDescent="0.2">
      <c r="A489" t="s">
        <v>99</v>
      </c>
      <c r="B489" t="s">
        <v>13</v>
      </c>
      <c r="C489" t="s">
        <v>111</v>
      </c>
      <c r="D489" t="s">
        <v>6</v>
      </c>
      <c r="E489" t="s">
        <v>112</v>
      </c>
      <c r="F489">
        <v>2016</v>
      </c>
      <c r="G489" s="20">
        <v>26203</v>
      </c>
      <c r="H489" t="s">
        <v>121</v>
      </c>
    </row>
    <row r="490" spans="1:8" x14ac:dyDescent="0.2">
      <c r="A490" t="s">
        <v>63</v>
      </c>
      <c r="B490" t="s">
        <v>7</v>
      </c>
      <c r="C490" t="s">
        <v>111</v>
      </c>
      <c r="D490" t="s">
        <v>5</v>
      </c>
      <c r="E490" t="s">
        <v>112</v>
      </c>
      <c r="F490">
        <v>2015</v>
      </c>
      <c r="G490" s="19" t="s">
        <v>119</v>
      </c>
      <c r="H490" t="s">
        <v>113</v>
      </c>
    </row>
    <row r="491" spans="1:8" x14ac:dyDescent="0.2">
      <c r="A491" t="s">
        <v>63</v>
      </c>
      <c r="B491" t="s">
        <v>7</v>
      </c>
      <c r="C491" t="s">
        <v>111</v>
      </c>
      <c r="D491" t="s">
        <v>6</v>
      </c>
      <c r="E491" t="s">
        <v>112</v>
      </c>
      <c r="F491">
        <v>2015</v>
      </c>
      <c r="H491" t="s">
        <v>113</v>
      </c>
    </row>
    <row r="492" spans="1:8" x14ac:dyDescent="0.2">
      <c r="A492" t="s">
        <v>64</v>
      </c>
      <c r="B492" t="s">
        <v>7</v>
      </c>
      <c r="C492" t="s">
        <v>111</v>
      </c>
      <c r="D492" t="s">
        <v>5</v>
      </c>
      <c r="E492" t="s">
        <v>112</v>
      </c>
      <c r="F492">
        <v>2015</v>
      </c>
      <c r="G492" s="20">
        <v>47254</v>
      </c>
      <c r="H492" t="s">
        <v>113</v>
      </c>
    </row>
    <row r="493" spans="1:8" x14ac:dyDescent="0.2">
      <c r="A493" t="s">
        <v>64</v>
      </c>
      <c r="B493" t="s">
        <v>7</v>
      </c>
      <c r="C493" t="s">
        <v>111</v>
      </c>
      <c r="D493" t="s">
        <v>6</v>
      </c>
      <c r="E493" t="s">
        <v>112</v>
      </c>
      <c r="F493">
        <v>2015</v>
      </c>
      <c r="G493" s="20">
        <v>13663</v>
      </c>
      <c r="H493" t="s">
        <v>113</v>
      </c>
    </row>
    <row r="494" spans="1:8" x14ac:dyDescent="0.2">
      <c r="A494" t="s">
        <v>65</v>
      </c>
      <c r="B494" t="s">
        <v>13</v>
      </c>
      <c r="C494" t="s">
        <v>111</v>
      </c>
      <c r="D494" t="s">
        <v>5</v>
      </c>
      <c r="E494" t="s">
        <v>112</v>
      </c>
      <c r="F494">
        <v>2015</v>
      </c>
      <c r="G494" s="20">
        <v>63241</v>
      </c>
      <c r="H494" t="s">
        <v>121</v>
      </c>
    </row>
    <row r="495" spans="1:8" x14ac:dyDescent="0.2">
      <c r="A495" t="s">
        <v>65</v>
      </c>
      <c r="B495" t="s">
        <v>13</v>
      </c>
      <c r="C495" t="s">
        <v>111</v>
      </c>
      <c r="D495" t="s">
        <v>6</v>
      </c>
      <c r="E495" t="s">
        <v>112</v>
      </c>
      <c r="F495">
        <v>2015</v>
      </c>
      <c r="G495" s="20">
        <v>12546</v>
      </c>
      <c r="H495" t="s">
        <v>121</v>
      </c>
    </row>
    <row r="496" spans="1:8" x14ac:dyDescent="0.2">
      <c r="A496" t="s">
        <v>66</v>
      </c>
      <c r="B496" t="s">
        <v>13</v>
      </c>
      <c r="C496" t="s">
        <v>111</v>
      </c>
      <c r="D496" t="s">
        <v>5</v>
      </c>
      <c r="E496" t="s">
        <v>112</v>
      </c>
      <c r="F496">
        <v>2015</v>
      </c>
      <c r="G496" s="20">
        <v>26345</v>
      </c>
      <c r="H496" t="s">
        <v>121</v>
      </c>
    </row>
    <row r="497" spans="1:8" x14ac:dyDescent="0.2">
      <c r="A497" t="s">
        <v>66</v>
      </c>
      <c r="B497" t="s">
        <v>13</v>
      </c>
      <c r="C497" t="s">
        <v>111</v>
      </c>
      <c r="D497" t="s">
        <v>6</v>
      </c>
      <c r="E497" t="s">
        <v>112</v>
      </c>
      <c r="F497">
        <v>2015</v>
      </c>
      <c r="G497" s="20">
        <v>9664</v>
      </c>
      <c r="H497" t="s">
        <v>121</v>
      </c>
    </row>
    <row r="498" spans="1:8" x14ac:dyDescent="0.2">
      <c r="A498" t="s">
        <v>67</v>
      </c>
      <c r="B498" t="s">
        <v>7</v>
      </c>
      <c r="C498" t="s">
        <v>111</v>
      </c>
      <c r="D498" t="s">
        <v>5</v>
      </c>
      <c r="E498" t="s">
        <v>112</v>
      </c>
      <c r="F498">
        <v>2015</v>
      </c>
      <c r="G498" s="20">
        <v>1542</v>
      </c>
      <c r="H498" t="s">
        <v>113</v>
      </c>
    </row>
    <row r="499" spans="1:8" x14ac:dyDescent="0.2">
      <c r="A499" t="s">
        <v>67</v>
      </c>
      <c r="B499" t="s">
        <v>7</v>
      </c>
      <c r="C499" t="s">
        <v>111</v>
      </c>
      <c r="D499" t="s">
        <v>6</v>
      </c>
      <c r="E499" t="s">
        <v>112</v>
      </c>
      <c r="F499">
        <v>2015</v>
      </c>
      <c r="H499" t="s">
        <v>113</v>
      </c>
    </row>
    <row r="500" spans="1:8" x14ac:dyDescent="0.2">
      <c r="A500" t="s">
        <v>69</v>
      </c>
      <c r="B500" t="s">
        <v>7</v>
      </c>
      <c r="C500" t="s">
        <v>111</v>
      </c>
      <c r="D500" t="s">
        <v>5</v>
      </c>
      <c r="E500" t="s">
        <v>112</v>
      </c>
      <c r="F500">
        <v>2015</v>
      </c>
      <c r="G500" s="20">
        <v>61577</v>
      </c>
      <c r="H500" t="s">
        <v>113</v>
      </c>
    </row>
    <row r="501" spans="1:8" x14ac:dyDescent="0.2">
      <c r="A501" t="s">
        <v>69</v>
      </c>
      <c r="B501" t="s">
        <v>7</v>
      </c>
      <c r="C501" t="s">
        <v>111</v>
      </c>
      <c r="D501" t="s">
        <v>6</v>
      </c>
      <c r="E501" t="s">
        <v>112</v>
      </c>
      <c r="F501">
        <v>2015</v>
      </c>
      <c r="G501" s="20">
        <v>14769</v>
      </c>
      <c r="H501" t="s">
        <v>113</v>
      </c>
    </row>
    <row r="502" spans="1:8" x14ac:dyDescent="0.2">
      <c r="A502" t="s">
        <v>71</v>
      </c>
      <c r="B502" t="s">
        <v>17</v>
      </c>
      <c r="C502" t="s">
        <v>111</v>
      </c>
      <c r="D502" t="s">
        <v>5</v>
      </c>
      <c r="E502" t="s">
        <v>112</v>
      </c>
      <c r="F502">
        <v>2015</v>
      </c>
      <c r="G502" s="20">
        <v>63539</v>
      </c>
      <c r="H502" t="s">
        <v>113</v>
      </c>
    </row>
    <row r="503" spans="1:8" x14ac:dyDescent="0.2">
      <c r="A503" t="s">
        <v>71</v>
      </c>
      <c r="B503" t="s">
        <v>17</v>
      </c>
      <c r="C503" t="s">
        <v>111</v>
      </c>
      <c r="D503" t="s">
        <v>6</v>
      </c>
      <c r="E503" t="s">
        <v>112</v>
      </c>
      <c r="F503">
        <v>2015</v>
      </c>
      <c r="G503" s="20">
        <v>9589</v>
      </c>
      <c r="H503" t="s">
        <v>113</v>
      </c>
    </row>
    <row r="504" spans="1:8" x14ac:dyDescent="0.2">
      <c r="A504" t="s">
        <v>72</v>
      </c>
      <c r="B504" t="s">
        <v>13</v>
      </c>
      <c r="C504" t="s">
        <v>111</v>
      </c>
      <c r="D504" t="s">
        <v>5</v>
      </c>
      <c r="E504" t="s">
        <v>112</v>
      </c>
      <c r="F504">
        <v>2015</v>
      </c>
      <c r="G504" s="20">
        <v>364453</v>
      </c>
      <c r="H504" t="s">
        <v>121</v>
      </c>
    </row>
    <row r="505" spans="1:8" x14ac:dyDescent="0.2">
      <c r="A505" t="s">
        <v>72</v>
      </c>
      <c r="B505" t="s">
        <v>13</v>
      </c>
      <c r="C505" t="s">
        <v>111</v>
      </c>
      <c r="D505" t="s">
        <v>6</v>
      </c>
      <c r="E505" t="s">
        <v>112</v>
      </c>
      <c r="F505">
        <v>2015</v>
      </c>
      <c r="G505" s="20">
        <v>113409</v>
      </c>
      <c r="H505" t="s">
        <v>121</v>
      </c>
    </row>
    <row r="506" spans="1:8" x14ac:dyDescent="0.2">
      <c r="A506" t="s">
        <v>73</v>
      </c>
      <c r="B506" t="s">
        <v>13</v>
      </c>
      <c r="C506" t="s">
        <v>111</v>
      </c>
      <c r="D506" t="s">
        <v>5</v>
      </c>
      <c r="E506" t="s">
        <v>112</v>
      </c>
      <c r="F506">
        <v>2015</v>
      </c>
      <c r="G506" s="20">
        <v>52438</v>
      </c>
      <c r="H506" t="s">
        <v>121</v>
      </c>
    </row>
    <row r="507" spans="1:8" x14ac:dyDescent="0.2">
      <c r="A507" t="s">
        <v>73</v>
      </c>
      <c r="B507" t="s">
        <v>13</v>
      </c>
      <c r="C507" t="s">
        <v>111</v>
      </c>
      <c r="D507" t="s">
        <v>6</v>
      </c>
      <c r="E507" t="s">
        <v>112</v>
      </c>
      <c r="F507">
        <v>2015</v>
      </c>
      <c r="G507" s="20">
        <v>13726</v>
      </c>
      <c r="H507" t="s">
        <v>121</v>
      </c>
    </row>
    <row r="508" spans="1:8" x14ac:dyDescent="0.2">
      <c r="A508" t="s">
        <v>74</v>
      </c>
      <c r="B508" t="s">
        <v>13</v>
      </c>
      <c r="C508" t="s">
        <v>111</v>
      </c>
      <c r="D508" t="s">
        <v>5</v>
      </c>
      <c r="E508" t="s">
        <v>112</v>
      </c>
      <c r="F508">
        <v>2015</v>
      </c>
      <c r="G508" s="20">
        <v>194625</v>
      </c>
      <c r="H508" t="s">
        <v>121</v>
      </c>
    </row>
    <row r="509" spans="1:8" x14ac:dyDescent="0.2">
      <c r="A509" t="s">
        <v>74</v>
      </c>
      <c r="B509" t="s">
        <v>13</v>
      </c>
      <c r="C509" t="s">
        <v>111</v>
      </c>
      <c r="D509" t="s">
        <v>6</v>
      </c>
      <c r="E509" t="s">
        <v>112</v>
      </c>
      <c r="F509">
        <v>2015</v>
      </c>
      <c r="G509" s="20">
        <v>55223</v>
      </c>
      <c r="H509" t="s">
        <v>121</v>
      </c>
    </row>
    <row r="510" spans="1:8" x14ac:dyDescent="0.2">
      <c r="A510" t="s">
        <v>75</v>
      </c>
      <c r="B510" t="s">
        <v>7</v>
      </c>
      <c r="C510" t="s">
        <v>111</v>
      </c>
      <c r="D510" t="s">
        <v>5</v>
      </c>
      <c r="E510" t="s">
        <v>112</v>
      </c>
      <c r="F510">
        <v>2015</v>
      </c>
      <c r="G510" s="20">
        <v>9245</v>
      </c>
      <c r="H510" t="s">
        <v>121</v>
      </c>
    </row>
    <row r="511" spans="1:8" x14ac:dyDescent="0.2">
      <c r="A511" t="s">
        <v>75</v>
      </c>
      <c r="B511" t="s">
        <v>7</v>
      </c>
      <c r="C511" t="s">
        <v>111</v>
      </c>
      <c r="D511" t="s">
        <v>6</v>
      </c>
      <c r="E511" t="s">
        <v>112</v>
      </c>
      <c r="F511">
        <v>2015</v>
      </c>
      <c r="G511" s="20">
        <v>2723</v>
      </c>
      <c r="H511" t="s">
        <v>121</v>
      </c>
    </row>
    <row r="512" spans="1:8" x14ac:dyDescent="0.2">
      <c r="A512" t="s">
        <v>76</v>
      </c>
      <c r="B512" t="s">
        <v>13</v>
      </c>
      <c r="C512" t="s">
        <v>111</v>
      </c>
      <c r="D512" t="s">
        <v>5</v>
      </c>
      <c r="E512" t="s">
        <v>112</v>
      </c>
      <c r="F512">
        <v>2015</v>
      </c>
      <c r="G512" s="20">
        <v>43426</v>
      </c>
      <c r="H512" t="s">
        <v>121</v>
      </c>
    </row>
    <row r="513" spans="1:8" x14ac:dyDescent="0.2">
      <c r="A513" t="s">
        <v>76</v>
      </c>
      <c r="B513" t="s">
        <v>13</v>
      </c>
      <c r="C513" t="s">
        <v>111</v>
      </c>
      <c r="D513" t="s">
        <v>6</v>
      </c>
      <c r="E513" t="s">
        <v>112</v>
      </c>
      <c r="F513">
        <v>2015</v>
      </c>
      <c r="G513" s="20">
        <v>14677</v>
      </c>
      <c r="H513" t="s">
        <v>121</v>
      </c>
    </row>
    <row r="514" spans="1:8" x14ac:dyDescent="0.2">
      <c r="A514" t="s">
        <v>77</v>
      </c>
      <c r="B514" t="s">
        <v>4</v>
      </c>
      <c r="C514" t="s">
        <v>111</v>
      </c>
      <c r="D514" t="s">
        <v>5</v>
      </c>
      <c r="E514" t="s">
        <v>112</v>
      </c>
      <c r="F514">
        <v>2015</v>
      </c>
      <c r="G514" s="20">
        <v>271841</v>
      </c>
      <c r="H514" t="s">
        <v>113</v>
      </c>
    </row>
    <row r="515" spans="1:8" x14ac:dyDescent="0.2">
      <c r="A515" t="s">
        <v>77</v>
      </c>
      <c r="B515" t="s">
        <v>4</v>
      </c>
      <c r="C515" t="s">
        <v>111</v>
      </c>
      <c r="D515" t="s">
        <v>6</v>
      </c>
      <c r="E515" t="s">
        <v>112</v>
      </c>
      <c r="F515">
        <v>2015</v>
      </c>
      <c r="G515" s="20">
        <v>66062</v>
      </c>
      <c r="H515" t="s">
        <v>113</v>
      </c>
    </row>
    <row r="516" spans="1:8" x14ac:dyDescent="0.2">
      <c r="A516" t="s">
        <v>78</v>
      </c>
      <c r="B516" t="s">
        <v>7</v>
      </c>
      <c r="C516" t="s">
        <v>111</v>
      </c>
      <c r="D516" t="s">
        <v>5</v>
      </c>
      <c r="E516" t="s">
        <v>112</v>
      </c>
      <c r="F516">
        <v>2015</v>
      </c>
      <c r="G516" s="20">
        <v>526455</v>
      </c>
      <c r="H516" t="s">
        <v>113</v>
      </c>
    </row>
    <row r="517" spans="1:8" x14ac:dyDescent="0.2">
      <c r="A517" t="s">
        <v>78</v>
      </c>
      <c r="B517" t="s">
        <v>7</v>
      </c>
      <c r="C517" t="s">
        <v>111</v>
      </c>
      <c r="D517" t="s">
        <v>6</v>
      </c>
      <c r="E517" t="s">
        <v>112</v>
      </c>
      <c r="F517">
        <v>2015</v>
      </c>
      <c r="G517" s="19" t="s">
        <v>32</v>
      </c>
      <c r="H517" t="s">
        <v>113</v>
      </c>
    </row>
    <row r="518" spans="1:8" x14ac:dyDescent="0.2">
      <c r="A518" t="s">
        <v>79</v>
      </c>
      <c r="B518" t="s">
        <v>7</v>
      </c>
      <c r="C518" t="s">
        <v>111</v>
      </c>
      <c r="D518" t="s">
        <v>5</v>
      </c>
      <c r="E518" t="s">
        <v>112</v>
      </c>
      <c r="F518">
        <v>2015</v>
      </c>
      <c r="G518" s="20">
        <v>12268</v>
      </c>
      <c r="H518" t="s">
        <v>113</v>
      </c>
    </row>
    <row r="519" spans="1:8" x14ac:dyDescent="0.2">
      <c r="A519" t="s">
        <v>79</v>
      </c>
      <c r="B519" t="s">
        <v>7</v>
      </c>
      <c r="C519" t="s">
        <v>111</v>
      </c>
      <c r="D519" t="s">
        <v>6</v>
      </c>
      <c r="E519" t="s">
        <v>112</v>
      </c>
      <c r="F519">
        <v>2015</v>
      </c>
      <c r="G519" s="20">
        <v>3871</v>
      </c>
      <c r="H519" t="s">
        <v>113</v>
      </c>
    </row>
    <row r="520" spans="1:8" x14ac:dyDescent="0.2">
      <c r="A520" t="s">
        <v>80</v>
      </c>
      <c r="B520" t="s">
        <v>13</v>
      </c>
      <c r="C520" t="s">
        <v>111</v>
      </c>
      <c r="D520" t="s">
        <v>5</v>
      </c>
      <c r="E520" t="s">
        <v>112</v>
      </c>
      <c r="F520">
        <v>2015</v>
      </c>
      <c r="G520" s="20">
        <v>10156</v>
      </c>
      <c r="H520" t="s">
        <v>121</v>
      </c>
    </row>
    <row r="521" spans="1:8" x14ac:dyDescent="0.2">
      <c r="A521" t="s">
        <v>80</v>
      </c>
      <c r="B521" t="s">
        <v>13</v>
      </c>
      <c r="C521" t="s">
        <v>111</v>
      </c>
      <c r="D521" t="s">
        <v>6</v>
      </c>
      <c r="E521" t="s">
        <v>112</v>
      </c>
      <c r="F521">
        <v>2015</v>
      </c>
      <c r="G521" s="19" t="s">
        <v>36</v>
      </c>
      <c r="H521" t="s">
        <v>121</v>
      </c>
    </row>
    <row r="522" spans="1:8" x14ac:dyDescent="0.2">
      <c r="A522" t="s">
        <v>81</v>
      </c>
      <c r="B522" t="s">
        <v>7</v>
      </c>
      <c r="C522" t="s">
        <v>111</v>
      </c>
      <c r="D522" t="s">
        <v>5</v>
      </c>
      <c r="E522" t="s">
        <v>112</v>
      </c>
      <c r="F522">
        <v>2015</v>
      </c>
      <c r="G522" s="19" t="s">
        <v>37</v>
      </c>
      <c r="H522" t="s">
        <v>121</v>
      </c>
    </row>
    <row r="523" spans="1:8" x14ac:dyDescent="0.2">
      <c r="A523" t="s">
        <v>81</v>
      </c>
      <c r="B523" t="s">
        <v>7</v>
      </c>
      <c r="C523" t="s">
        <v>111</v>
      </c>
      <c r="D523" t="s">
        <v>6</v>
      </c>
      <c r="E523" t="s">
        <v>112</v>
      </c>
      <c r="F523">
        <v>2015</v>
      </c>
      <c r="G523" s="20">
        <v>9711</v>
      </c>
      <c r="H523" t="s">
        <v>121</v>
      </c>
    </row>
    <row r="524" spans="1:8" x14ac:dyDescent="0.2">
      <c r="A524" t="s">
        <v>82</v>
      </c>
      <c r="B524" t="s">
        <v>13</v>
      </c>
      <c r="C524" t="s">
        <v>111</v>
      </c>
      <c r="D524" t="s">
        <v>5</v>
      </c>
      <c r="E524" t="s">
        <v>112</v>
      </c>
      <c r="F524">
        <v>2015</v>
      </c>
      <c r="G524" s="20">
        <v>41118</v>
      </c>
      <c r="H524" t="s">
        <v>121</v>
      </c>
    </row>
    <row r="525" spans="1:8" x14ac:dyDescent="0.2">
      <c r="A525" t="s">
        <v>82</v>
      </c>
      <c r="B525" t="s">
        <v>13</v>
      </c>
      <c r="C525" t="s">
        <v>111</v>
      </c>
      <c r="D525" t="s">
        <v>6</v>
      </c>
      <c r="E525" t="s">
        <v>112</v>
      </c>
      <c r="F525">
        <v>2015</v>
      </c>
      <c r="G525" s="20">
        <v>19743</v>
      </c>
      <c r="H525" t="s">
        <v>121</v>
      </c>
    </row>
    <row r="526" spans="1:8" x14ac:dyDescent="0.2">
      <c r="A526" t="s">
        <v>83</v>
      </c>
      <c r="B526" t="s">
        <v>13</v>
      </c>
      <c r="C526" t="s">
        <v>111</v>
      </c>
      <c r="D526" t="s">
        <v>5</v>
      </c>
      <c r="E526" t="s">
        <v>112</v>
      </c>
      <c r="F526">
        <v>2015</v>
      </c>
      <c r="G526" s="20">
        <v>2925</v>
      </c>
      <c r="H526" t="s">
        <v>121</v>
      </c>
    </row>
    <row r="527" spans="1:8" x14ac:dyDescent="0.2">
      <c r="A527" t="s">
        <v>83</v>
      </c>
      <c r="B527" t="s">
        <v>13</v>
      </c>
      <c r="C527" t="s">
        <v>111</v>
      </c>
      <c r="D527" t="s">
        <v>6</v>
      </c>
      <c r="E527" t="s">
        <v>112</v>
      </c>
      <c r="F527">
        <v>2015</v>
      </c>
      <c r="G527" s="20">
        <v>1172</v>
      </c>
      <c r="H527" t="s">
        <v>121</v>
      </c>
    </row>
    <row r="528" spans="1:8" x14ac:dyDescent="0.2">
      <c r="A528" t="s">
        <v>84</v>
      </c>
      <c r="B528" t="s">
        <v>13</v>
      </c>
      <c r="C528" t="s">
        <v>111</v>
      </c>
      <c r="D528" t="s">
        <v>5</v>
      </c>
      <c r="E528" t="s">
        <v>112</v>
      </c>
      <c r="F528">
        <v>2015</v>
      </c>
      <c r="G528" s="20">
        <v>209016</v>
      </c>
      <c r="H528" t="s">
        <v>121</v>
      </c>
    </row>
    <row r="529" spans="1:8" x14ac:dyDescent="0.2">
      <c r="A529" t="s">
        <v>84</v>
      </c>
      <c r="B529" t="s">
        <v>13</v>
      </c>
      <c r="C529" t="s">
        <v>111</v>
      </c>
      <c r="D529" t="s">
        <v>6</v>
      </c>
      <c r="E529" t="s">
        <v>112</v>
      </c>
      <c r="F529">
        <v>2015</v>
      </c>
      <c r="G529" s="20">
        <v>56196</v>
      </c>
      <c r="H529" t="s">
        <v>121</v>
      </c>
    </row>
    <row r="530" spans="1:8" x14ac:dyDescent="0.2">
      <c r="A530" t="s">
        <v>85</v>
      </c>
      <c r="B530" t="s">
        <v>7</v>
      </c>
      <c r="C530" t="s">
        <v>111</v>
      </c>
      <c r="D530" t="s">
        <v>5</v>
      </c>
      <c r="E530" t="s">
        <v>112</v>
      </c>
      <c r="F530">
        <v>2015</v>
      </c>
      <c r="G530" s="19" t="s">
        <v>134</v>
      </c>
      <c r="H530" t="s">
        <v>113</v>
      </c>
    </row>
    <row r="531" spans="1:8" x14ac:dyDescent="0.2">
      <c r="A531" t="s">
        <v>85</v>
      </c>
      <c r="B531" t="s">
        <v>7</v>
      </c>
      <c r="C531" t="s">
        <v>111</v>
      </c>
      <c r="D531" t="s">
        <v>6</v>
      </c>
      <c r="E531" t="s">
        <v>112</v>
      </c>
      <c r="F531">
        <v>2015</v>
      </c>
      <c r="H531" t="s">
        <v>113</v>
      </c>
    </row>
    <row r="532" spans="1:8" x14ac:dyDescent="0.2">
      <c r="A532" t="s">
        <v>86</v>
      </c>
      <c r="B532" t="s">
        <v>13</v>
      </c>
      <c r="C532" t="s">
        <v>111</v>
      </c>
      <c r="D532" t="s">
        <v>5</v>
      </c>
      <c r="E532" t="s">
        <v>112</v>
      </c>
      <c r="F532">
        <v>2015</v>
      </c>
      <c r="G532" s="20">
        <v>9561</v>
      </c>
      <c r="H532" t="s">
        <v>121</v>
      </c>
    </row>
    <row r="533" spans="1:8" x14ac:dyDescent="0.2">
      <c r="A533" t="s">
        <v>86</v>
      </c>
      <c r="B533" t="s">
        <v>13</v>
      </c>
      <c r="C533" t="s">
        <v>111</v>
      </c>
      <c r="D533" t="s">
        <v>6</v>
      </c>
      <c r="E533" t="s">
        <v>112</v>
      </c>
      <c r="F533">
        <v>2015</v>
      </c>
      <c r="G533" s="20">
        <v>2939</v>
      </c>
      <c r="H533" t="s">
        <v>121</v>
      </c>
    </row>
    <row r="534" spans="1:8" x14ac:dyDescent="0.2">
      <c r="A534" t="s">
        <v>87</v>
      </c>
      <c r="B534" t="s">
        <v>13</v>
      </c>
      <c r="C534" t="s">
        <v>111</v>
      </c>
      <c r="D534" t="s">
        <v>5</v>
      </c>
      <c r="E534" t="s">
        <v>112</v>
      </c>
      <c r="F534">
        <v>2015</v>
      </c>
      <c r="G534" s="20">
        <v>2726</v>
      </c>
      <c r="H534" t="s">
        <v>121</v>
      </c>
    </row>
    <row r="535" spans="1:8" x14ac:dyDescent="0.2">
      <c r="A535" t="s">
        <v>88</v>
      </c>
      <c r="B535" t="s">
        <v>13</v>
      </c>
      <c r="C535" t="s">
        <v>111</v>
      </c>
      <c r="D535" t="s">
        <v>5</v>
      </c>
      <c r="E535" t="s">
        <v>112</v>
      </c>
      <c r="F535">
        <v>2015</v>
      </c>
      <c r="G535" s="20">
        <v>7713</v>
      </c>
      <c r="H535" t="s">
        <v>121</v>
      </c>
    </row>
    <row r="536" spans="1:8" x14ac:dyDescent="0.2">
      <c r="A536" t="s">
        <v>88</v>
      </c>
      <c r="B536" t="s">
        <v>13</v>
      </c>
      <c r="C536" t="s">
        <v>111</v>
      </c>
      <c r="D536" t="s">
        <v>6</v>
      </c>
      <c r="E536" t="s">
        <v>112</v>
      </c>
      <c r="F536">
        <v>2015</v>
      </c>
      <c r="G536" s="20">
        <v>2445</v>
      </c>
      <c r="H536" t="s">
        <v>121</v>
      </c>
    </row>
    <row r="537" spans="1:8" x14ac:dyDescent="0.2">
      <c r="A537" t="s">
        <v>89</v>
      </c>
      <c r="B537" t="s">
        <v>7</v>
      </c>
      <c r="C537" t="s">
        <v>111</v>
      </c>
      <c r="D537" t="s">
        <v>5</v>
      </c>
      <c r="E537" t="s">
        <v>112</v>
      </c>
      <c r="F537">
        <v>2015</v>
      </c>
      <c r="G537" s="20">
        <v>3292</v>
      </c>
      <c r="H537" t="s">
        <v>113</v>
      </c>
    </row>
    <row r="538" spans="1:8" x14ac:dyDescent="0.2">
      <c r="A538" t="s">
        <v>89</v>
      </c>
      <c r="B538" t="s">
        <v>7</v>
      </c>
      <c r="C538" t="s">
        <v>111</v>
      </c>
      <c r="D538" t="s">
        <v>6</v>
      </c>
      <c r="E538" t="s">
        <v>112</v>
      </c>
      <c r="F538">
        <v>2015</v>
      </c>
      <c r="G538" s="19" t="s">
        <v>140</v>
      </c>
      <c r="H538" t="s">
        <v>113</v>
      </c>
    </row>
    <row r="539" spans="1:8" x14ac:dyDescent="0.2">
      <c r="A539" t="s">
        <v>90</v>
      </c>
      <c r="B539" t="s">
        <v>7</v>
      </c>
      <c r="C539" t="s">
        <v>111</v>
      </c>
      <c r="D539" t="s">
        <v>5</v>
      </c>
      <c r="E539" t="s">
        <v>112</v>
      </c>
      <c r="F539">
        <v>2015</v>
      </c>
      <c r="G539" s="20">
        <v>2815</v>
      </c>
      <c r="H539" t="s">
        <v>121</v>
      </c>
    </row>
    <row r="540" spans="1:8" x14ac:dyDescent="0.2">
      <c r="A540" t="s">
        <v>90</v>
      </c>
      <c r="B540" t="s">
        <v>7</v>
      </c>
      <c r="C540" t="s">
        <v>111</v>
      </c>
      <c r="D540" t="s">
        <v>6</v>
      </c>
      <c r="E540" t="s">
        <v>112</v>
      </c>
      <c r="F540">
        <v>2015</v>
      </c>
      <c r="G540" s="19" t="s">
        <v>147</v>
      </c>
      <c r="H540" t="s">
        <v>121</v>
      </c>
    </row>
    <row r="541" spans="1:8" x14ac:dyDescent="0.2">
      <c r="A541" t="s">
        <v>91</v>
      </c>
      <c r="B541" t="s">
        <v>13</v>
      </c>
      <c r="C541" t="s">
        <v>111</v>
      </c>
      <c r="D541" t="s">
        <v>5</v>
      </c>
      <c r="E541" t="s">
        <v>112</v>
      </c>
      <c r="F541">
        <v>2015</v>
      </c>
      <c r="G541" s="20">
        <v>128308</v>
      </c>
      <c r="H541" t="s">
        <v>121</v>
      </c>
    </row>
    <row r="542" spans="1:8" x14ac:dyDescent="0.2">
      <c r="A542" t="s">
        <v>91</v>
      </c>
      <c r="B542" t="s">
        <v>13</v>
      </c>
      <c r="C542" t="s">
        <v>111</v>
      </c>
      <c r="D542" t="s">
        <v>6</v>
      </c>
      <c r="E542" t="s">
        <v>112</v>
      </c>
      <c r="F542">
        <v>2015</v>
      </c>
      <c r="G542" s="20">
        <v>24942</v>
      </c>
      <c r="H542" t="s">
        <v>121</v>
      </c>
    </row>
    <row r="543" spans="1:8" x14ac:dyDescent="0.2">
      <c r="A543" t="s">
        <v>92</v>
      </c>
      <c r="B543" t="s">
        <v>13</v>
      </c>
      <c r="C543" t="s">
        <v>111</v>
      </c>
      <c r="D543" t="s">
        <v>5</v>
      </c>
      <c r="E543" t="s">
        <v>112</v>
      </c>
      <c r="F543">
        <v>2015</v>
      </c>
      <c r="G543" s="20">
        <v>32602</v>
      </c>
      <c r="H543" t="s">
        <v>121</v>
      </c>
    </row>
    <row r="544" spans="1:8" x14ac:dyDescent="0.2">
      <c r="A544" t="s">
        <v>92</v>
      </c>
      <c r="B544" t="s">
        <v>13</v>
      </c>
      <c r="C544" t="s">
        <v>111</v>
      </c>
      <c r="D544" t="s">
        <v>6</v>
      </c>
      <c r="E544" t="s">
        <v>112</v>
      </c>
      <c r="F544">
        <v>2015</v>
      </c>
      <c r="G544" s="20">
        <v>9291</v>
      </c>
      <c r="H544" t="s">
        <v>121</v>
      </c>
    </row>
    <row r="545" spans="1:8" x14ac:dyDescent="0.2">
      <c r="A545" t="s">
        <v>93</v>
      </c>
      <c r="B545" t="s">
        <v>13</v>
      </c>
      <c r="C545" t="s">
        <v>111</v>
      </c>
      <c r="D545" t="s">
        <v>5</v>
      </c>
      <c r="E545" t="s">
        <v>112</v>
      </c>
      <c r="F545">
        <v>2015</v>
      </c>
      <c r="G545" s="20">
        <v>133157</v>
      </c>
      <c r="H545" t="s">
        <v>121</v>
      </c>
    </row>
    <row r="546" spans="1:8" x14ac:dyDescent="0.2">
      <c r="A546" t="s">
        <v>93</v>
      </c>
      <c r="B546" t="s">
        <v>13</v>
      </c>
      <c r="C546" t="s">
        <v>111</v>
      </c>
      <c r="D546" t="s">
        <v>6</v>
      </c>
      <c r="E546" t="s">
        <v>112</v>
      </c>
      <c r="F546">
        <v>2015</v>
      </c>
      <c r="G546" s="20">
        <v>34821</v>
      </c>
      <c r="H546" t="s">
        <v>121</v>
      </c>
    </row>
    <row r="547" spans="1:8" x14ac:dyDescent="0.2">
      <c r="A547" t="s">
        <v>94</v>
      </c>
      <c r="B547" t="s">
        <v>13</v>
      </c>
      <c r="C547" t="s">
        <v>111</v>
      </c>
      <c r="D547" t="s">
        <v>5</v>
      </c>
      <c r="E547" t="s">
        <v>112</v>
      </c>
      <c r="F547">
        <v>2015</v>
      </c>
      <c r="G547" s="20">
        <v>34925</v>
      </c>
      <c r="H547" t="s">
        <v>121</v>
      </c>
    </row>
    <row r="548" spans="1:8" x14ac:dyDescent="0.2">
      <c r="A548" t="s">
        <v>94</v>
      </c>
      <c r="B548" t="s">
        <v>13</v>
      </c>
      <c r="C548" t="s">
        <v>111</v>
      </c>
      <c r="D548" t="s">
        <v>6</v>
      </c>
      <c r="E548" t="s">
        <v>112</v>
      </c>
      <c r="F548">
        <v>2015</v>
      </c>
      <c r="G548" s="20">
        <v>10419</v>
      </c>
      <c r="H548" t="s">
        <v>121</v>
      </c>
    </row>
    <row r="549" spans="1:8" x14ac:dyDescent="0.2">
      <c r="A549" t="s">
        <v>95</v>
      </c>
      <c r="B549" t="s">
        <v>52</v>
      </c>
      <c r="C549" t="s">
        <v>111</v>
      </c>
      <c r="D549" t="s">
        <v>5</v>
      </c>
      <c r="E549" t="s">
        <v>112</v>
      </c>
      <c r="F549">
        <v>2015</v>
      </c>
      <c r="G549" s="20">
        <v>26061</v>
      </c>
      <c r="H549" t="s">
        <v>121</v>
      </c>
    </row>
    <row r="550" spans="1:8" x14ac:dyDescent="0.2">
      <c r="A550" t="s">
        <v>95</v>
      </c>
      <c r="B550" t="s">
        <v>52</v>
      </c>
      <c r="C550" t="s">
        <v>111</v>
      </c>
      <c r="D550" t="s">
        <v>6</v>
      </c>
      <c r="E550" t="s">
        <v>112</v>
      </c>
      <c r="F550">
        <v>2015</v>
      </c>
      <c r="G550" s="20">
        <v>11376</v>
      </c>
      <c r="H550" t="s">
        <v>121</v>
      </c>
    </row>
    <row r="551" spans="1:8" x14ac:dyDescent="0.2">
      <c r="A551" t="s">
        <v>96</v>
      </c>
      <c r="B551" t="s">
        <v>7</v>
      </c>
      <c r="C551" t="s">
        <v>111</v>
      </c>
      <c r="D551" t="s">
        <v>5</v>
      </c>
      <c r="E551" t="s">
        <v>112</v>
      </c>
      <c r="F551">
        <v>2015</v>
      </c>
      <c r="G551" s="20">
        <v>10925</v>
      </c>
      <c r="H551" t="s">
        <v>113</v>
      </c>
    </row>
    <row r="552" spans="1:8" x14ac:dyDescent="0.2">
      <c r="A552" t="s">
        <v>96</v>
      </c>
      <c r="B552" t="s">
        <v>7</v>
      </c>
      <c r="C552" t="s">
        <v>111</v>
      </c>
      <c r="D552" t="s">
        <v>6</v>
      </c>
      <c r="E552" t="s">
        <v>112</v>
      </c>
      <c r="F552">
        <v>2015</v>
      </c>
      <c r="G552" s="20">
        <v>2067</v>
      </c>
      <c r="H552" t="s">
        <v>113</v>
      </c>
    </row>
    <row r="553" spans="1:8" x14ac:dyDescent="0.2">
      <c r="A553" t="s">
        <v>97</v>
      </c>
      <c r="B553" t="s">
        <v>7</v>
      </c>
      <c r="C553" t="s">
        <v>111</v>
      </c>
      <c r="D553" t="s">
        <v>5</v>
      </c>
      <c r="E553" t="s">
        <v>112</v>
      </c>
      <c r="F553">
        <v>2015</v>
      </c>
      <c r="G553" s="20">
        <v>24531</v>
      </c>
      <c r="H553" t="s">
        <v>113</v>
      </c>
    </row>
    <row r="554" spans="1:8" x14ac:dyDescent="0.2">
      <c r="A554" t="s">
        <v>97</v>
      </c>
      <c r="B554" t="s">
        <v>7</v>
      </c>
      <c r="C554" t="s">
        <v>111</v>
      </c>
      <c r="D554" t="s">
        <v>6</v>
      </c>
      <c r="E554" t="s">
        <v>112</v>
      </c>
      <c r="F554">
        <v>2015</v>
      </c>
      <c r="G554" s="19" t="s">
        <v>58</v>
      </c>
      <c r="H554" t="s">
        <v>113</v>
      </c>
    </row>
    <row r="555" spans="1:8" x14ac:dyDescent="0.2">
      <c r="A555" t="s">
        <v>98</v>
      </c>
      <c r="B555" t="s">
        <v>7</v>
      </c>
      <c r="C555" t="s">
        <v>111</v>
      </c>
      <c r="D555" t="s">
        <v>5</v>
      </c>
      <c r="E555" t="s">
        <v>112</v>
      </c>
      <c r="F555">
        <v>2015</v>
      </c>
      <c r="G555" s="19" t="s">
        <v>59</v>
      </c>
      <c r="H555" t="s">
        <v>121</v>
      </c>
    </row>
    <row r="556" spans="1:8" x14ac:dyDescent="0.2">
      <c r="A556" t="s">
        <v>98</v>
      </c>
      <c r="B556" t="s">
        <v>7</v>
      </c>
      <c r="C556" t="s">
        <v>111</v>
      </c>
      <c r="D556" t="s">
        <v>6</v>
      </c>
      <c r="E556" t="s">
        <v>112</v>
      </c>
      <c r="F556">
        <v>2015</v>
      </c>
      <c r="G556" s="20">
        <v>4051</v>
      </c>
      <c r="H556" t="s">
        <v>121</v>
      </c>
    </row>
    <row r="557" spans="1:8" x14ac:dyDescent="0.2">
      <c r="A557" t="s">
        <v>99</v>
      </c>
      <c r="B557" t="s">
        <v>13</v>
      </c>
      <c r="C557" t="s">
        <v>111</v>
      </c>
      <c r="D557" t="s">
        <v>5</v>
      </c>
      <c r="E557" t="s">
        <v>112</v>
      </c>
      <c r="F557">
        <v>2015</v>
      </c>
      <c r="G557" s="20">
        <v>84975</v>
      </c>
      <c r="H557" t="s">
        <v>121</v>
      </c>
    </row>
    <row r="558" spans="1:8" x14ac:dyDescent="0.2">
      <c r="A558" t="s">
        <v>99</v>
      </c>
      <c r="B558" t="s">
        <v>13</v>
      </c>
      <c r="C558" t="s">
        <v>111</v>
      </c>
      <c r="D558" t="s">
        <v>6</v>
      </c>
      <c r="E558" t="s">
        <v>112</v>
      </c>
      <c r="F558">
        <v>2015</v>
      </c>
      <c r="G558" s="20">
        <v>23634</v>
      </c>
      <c r="H558" t="s">
        <v>121</v>
      </c>
    </row>
    <row r="559" spans="1:8" x14ac:dyDescent="0.2">
      <c r="A559" s="45" t="s">
        <v>63</v>
      </c>
      <c r="B559" s="45" t="s">
        <v>7</v>
      </c>
      <c r="C559" s="45" t="s">
        <v>111</v>
      </c>
      <c r="D559" s="45" t="s">
        <v>5</v>
      </c>
      <c r="E559" s="45" t="s">
        <v>112</v>
      </c>
      <c r="F559" s="45">
        <v>2014</v>
      </c>
      <c r="G559" s="46" t="s">
        <v>120</v>
      </c>
      <c r="H559" s="45" t="s">
        <v>113</v>
      </c>
    </row>
    <row r="560" spans="1:8" x14ac:dyDescent="0.2">
      <c r="A560" s="45" t="s">
        <v>63</v>
      </c>
      <c r="B560" s="45" t="s">
        <v>7</v>
      </c>
      <c r="C560" s="45" t="s">
        <v>111</v>
      </c>
      <c r="D560" s="45" t="s">
        <v>6</v>
      </c>
      <c r="E560" s="45" t="s">
        <v>112</v>
      </c>
      <c r="F560" s="45">
        <v>2014</v>
      </c>
      <c r="G560" s="46"/>
      <c r="H560" s="45" t="s">
        <v>113</v>
      </c>
    </row>
    <row r="561" spans="1:8" x14ac:dyDescent="0.2">
      <c r="A561" s="45" t="s">
        <v>64</v>
      </c>
      <c r="B561" s="45" t="s">
        <v>7</v>
      </c>
      <c r="C561" s="45" t="s">
        <v>111</v>
      </c>
      <c r="D561" s="45" t="s">
        <v>5</v>
      </c>
      <c r="E561" s="45" t="s">
        <v>112</v>
      </c>
      <c r="F561" s="45">
        <v>2014</v>
      </c>
      <c r="G561" s="47">
        <v>44763</v>
      </c>
      <c r="H561" s="45" t="s">
        <v>113</v>
      </c>
    </row>
    <row r="562" spans="1:8" x14ac:dyDescent="0.2">
      <c r="A562" s="45" t="s">
        <v>64</v>
      </c>
      <c r="B562" s="45" t="s">
        <v>7</v>
      </c>
      <c r="C562" s="45" t="s">
        <v>111</v>
      </c>
      <c r="D562" s="45" t="s">
        <v>6</v>
      </c>
      <c r="E562" s="45" t="s">
        <v>112</v>
      </c>
      <c r="F562" s="45">
        <v>2014</v>
      </c>
      <c r="G562" s="47">
        <v>12142</v>
      </c>
      <c r="H562" s="45" t="s">
        <v>113</v>
      </c>
    </row>
    <row r="563" spans="1:8" x14ac:dyDescent="0.2">
      <c r="A563" s="45" t="s">
        <v>65</v>
      </c>
      <c r="B563" s="45" t="s">
        <v>13</v>
      </c>
      <c r="C563" s="45" t="s">
        <v>111</v>
      </c>
      <c r="D563" s="45" t="s">
        <v>5</v>
      </c>
      <c r="E563" s="45" t="s">
        <v>112</v>
      </c>
      <c r="F563" s="45">
        <v>2014</v>
      </c>
      <c r="G563" s="47">
        <v>57224</v>
      </c>
      <c r="H563" s="45" t="s">
        <v>121</v>
      </c>
    </row>
    <row r="564" spans="1:8" x14ac:dyDescent="0.2">
      <c r="A564" s="45" t="s">
        <v>65</v>
      </c>
      <c r="B564" s="45" t="s">
        <v>13</v>
      </c>
      <c r="C564" s="45" t="s">
        <v>111</v>
      </c>
      <c r="D564" s="45" t="s">
        <v>6</v>
      </c>
      <c r="E564" s="45" t="s">
        <v>112</v>
      </c>
      <c r="F564" s="45">
        <v>2014</v>
      </c>
      <c r="G564" s="47">
        <v>13055</v>
      </c>
      <c r="H564" s="45" t="s">
        <v>121</v>
      </c>
    </row>
    <row r="565" spans="1:8" x14ac:dyDescent="0.2">
      <c r="A565" s="45" t="s">
        <v>66</v>
      </c>
      <c r="B565" s="45" t="s">
        <v>13</v>
      </c>
      <c r="C565" s="45" t="s">
        <v>111</v>
      </c>
      <c r="D565" s="45" t="s">
        <v>5</v>
      </c>
      <c r="E565" s="45" t="s">
        <v>112</v>
      </c>
      <c r="F565" s="45">
        <v>2014</v>
      </c>
      <c r="G565" s="47">
        <v>20507</v>
      </c>
      <c r="H565" s="45" t="s">
        <v>121</v>
      </c>
    </row>
    <row r="566" spans="1:8" x14ac:dyDescent="0.2">
      <c r="A566" s="45" t="s">
        <v>66</v>
      </c>
      <c r="B566" s="45" t="s">
        <v>13</v>
      </c>
      <c r="C566" s="45" t="s">
        <v>111</v>
      </c>
      <c r="D566" s="45" t="s">
        <v>6</v>
      </c>
      <c r="E566" s="45" t="s">
        <v>112</v>
      </c>
      <c r="F566" s="45">
        <v>2014</v>
      </c>
      <c r="G566" s="46" t="s">
        <v>15</v>
      </c>
      <c r="H566" s="45" t="s">
        <v>121</v>
      </c>
    </row>
    <row r="567" spans="1:8" x14ac:dyDescent="0.2">
      <c r="A567" s="45" t="s">
        <v>67</v>
      </c>
      <c r="B567" s="45" t="s">
        <v>7</v>
      </c>
      <c r="C567" s="45" t="s">
        <v>111</v>
      </c>
      <c r="D567" s="45" t="s">
        <v>5</v>
      </c>
      <c r="E567" s="45" t="s">
        <v>112</v>
      </c>
      <c r="F567" s="45">
        <v>2014</v>
      </c>
      <c r="G567" s="47">
        <v>1029</v>
      </c>
      <c r="H567" s="45" t="s">
        <v>113</v>
      </c>
    </row>
    <row r="568" spans="1:8" x14ac:dyDescent="0.2">
      <c r="A568" s="45" t="s">
        <v>67</v>
      </c>
      <c r="B568" s="45" t="s">
        <v>7</v>
      </c>
      <c r="C568" s="45" t="s">
        <v>111</v>
      </c>
      <c r="D568" s="45" t="s">
        <v>6</v>
      </c>
      <c r="E568" s="45" t="s">
        <v>112</v>
      </c>
      <c r="F568" s="45">
        <v>2014</v>
      </c>
      <c r="G568" s="46"/>
      <c r="H568" s="45" t="s">
        <v>113</v>
      </c>
    </row>
    <row r="569" spans="1:8" x14ac:dyDescent="0.2">
      <c r="A569" s="45" t="s">
        <v>69</v>
      </c>
      <c r="B569" s="45" t="s">
        <v>7</v>
      </c>
      <c r="C569" s="45" t="s">
        <v>111</v>
      </c>
      <c r="D569" s="45" t="s">
        <v>5</v>
      </c>
      <c r="E569" s="45" t="s">
        <v>112</v>
      </c>
      <c r="F569" s="45">
        <v>2014</v>
      </c>
      <c r="G569" s="47">
        <v>66496</v>
      </c>
      <c r="H569" s="45" t="s">
        <v>113</v>
      </c>
    </row>
    <row r="570" spans="1:8" x14ac:dyDescent="0.2">
      <c r="A570" s="45" t="s">
        <v>69</v>
      </c>
      <c r="B570" s="45" t="s">
        <v>7</v>
      </c>
      <c r="C570" s="45" t="s">
        <v>111</v>
      </c>
      <c r="D570" s="45" t="s">
        <v>6</v>
      </c>
      <c r="E570" s="45" t="s">
        <v>112</v>
      </c>
      <c r="F570" s="45">
        <v>2014</v>
      </c>
      <c r="G570" s="47">
        <v>15132</v>
      </c>
      <c r="H570" s="45" t="s">
        <v>113</v>
      </c>
    </row>
    <row r="571" spans="1:8" x14ac:dyDescent="0.2">
      <c r="A571" s="45" t="s">
        <v>71</v>
      </c>
      <c r="B571" s="45" t="s">
        <v>17</v>
      </c>
      <c r="C571" s="45" t="s">
        <v>111</v>
      </c>
      <c r="D571" s="45" t="s">
        <v>5</v>
      </c>
      <c r="E571" s="45" t="s">
        <v>112</v>
      </c>
      <c r="F571" s="45">
        <v>2014</v>
      </c>
      <c r="G571" s="47">
        <v>62683</v>
      </c>
      <c r="H571" s="45" t="s">
        <v>113</v>
      </c>
    </row>
    <row r="572" spans="1:8" x14ac:dyDescent="0.2">
      <c r="A572" s="45" t="s">
        <v>71</v>
      </c>
      <c r="B572" s="45" t="s">
        <v>17</v>
      </c>
      <c r="C572" s="45" t="s">
        <v>111</v>
      </c>
      <c r="D572" s="45" t="s">
        <v>6</v>
      </c>
      <c r="E572" s="45" t="s">
        <v>112</v>
      </c>
      <c r="F572" s="45">
        <v>2014</v>
      </c>
      <c r="G572" s="47">
        <v>7628</v>
      </c>
      <c r="H572" s="45" t="s">
        <v>113</v>
      </c>
    </row>
    <row r="573" spans="1:8" x14ac:dyDescent="0.2">
      <c r="A573" s="45" t="s">
        <v>72</v>
      </c>
      <c r="B573" s="45" t="s">
        <v>13</v>
      </c>
      <c r="C573" s="45" t="s">
        <v>111</v>
      </c>
      <c r="D573" s="45" t="s">
        <v>5</v>
      </c>
      <c r="E573" s="45" t="s">
        <v>112</v>
      </c>
      <c r="F573" s="45">
        <v>2014</v>
      </c>
      <c r="G573" s="47">
        <v>379739</v>
      </c>
      <c r="H573" s="45" t="s">
        <v>121</v>
      </c>
    </row>
    <row r="574" spans="1:8" x14ac:dyDescent="0.2">
      <c r="A574" s="45" t="s">
        <v>72</v>
      </c>
      <c r="B574" s="45" t="s">
        <v>13</v>
      </c>
      <c r="C574" s="45" t="s">
        <v>111</v>
      </c>
      <c r="D574" s="45" t="s">
        <v>6</v>
      </c>
      <c r="E574" s="45" t="s">
        <v>112</v>
      </c>
      <c r="F574" s="45">
        <v>2014</v>
      </c>
      <c r="G574" s="47">
        <v>117134</v>
      </c>
      <c r="H574" s="45" t="s">
        <v>121</v>
      </c>
    </row>
    <row r="575" spans="1:8" x14ac:dyDescent="0.2">
      <c r="A575" s="45" t="s">
        <v>73</v>
      </c>
      <c r="B575" s="45" t="s">
        <v>13</v>
      </c>
      <c r="C575" s="45" t="s">
        <v>111</v>
      </c>
      <c r="D575" s="45" t="s">
        <v>5</v>
      </c>
      <c r="E575" s="45" t="s">
        <v>112</v>
      </c>
      <c r="F575" s="45">
        <v>2014</v>
      </c>
      <c r="G575" s="47">
        <v>50283</v>
      </c>
      <c r="H575" s="45" t="s">
        <v>121</v>
      </c>
    </row>
    <row r="576" spans="1:8" x14ac:dyDescent="0.2">
      <c r="A576" s="45" t="s">
        <v>73</v>
      </c>
      <c r="B576" s="45" t="s">
        <v>13</v>
      </c>
      <c r="C576" s="45" t="s">
        <v>111</v>
      </c>
      <c r="D576" s="45" t="s">
        <v>6</v>
      </c>
      <c r="E576" s="45" t="s">
        <v>112</v>
      </c>
      <c r="F576" s="45">
        <v>2014</v>
      </c>
      <c r="G576" s="47">
        <v>12092</v>
      </c>
      <c r="H576" s="45" t="s">
        <v>121</v>
      </c>
    </row>
    <row r="577" spans="1:8" x14ac:dyDescent="0.2">
      <c r="A577" s="45" t="s">
        <v>74</v>
      </c>
      <c r="B577" s="45" t="s">
        <v>13</v>
      </c>
      <c r="C577" s="45" t="s">
        <v>111</v>
      </c>
      <c r="D577" s="45" t="s">
        <v>5</v>
      </c>
      <c r="E577" s="45" t="s">
        <v>112</v>
      </c>
      <c r="F577" s="45">
        <v>2014</v>
      </c>
      <c r="G577" s="47">
        <v>175365</v>
      </c>
      <c r="H577" s="45" t="s">
        <v>121</v>
      </c>
    </row>
    <row r="578" spans="1:8" x14ac:dyDescent="0.2">
      <c r="A578" s="45" t="s">
        <v>74</v>
      </c>
      <c r="B578" s="45" t="s">
        <v>13</v>
      </c>
      <c r="C578" s="45" t="s">
        <v>111</v>
      </c>
      <c r="D578" s="45" t="s">
        <v>6</v>
      </c>
      <c r="E578" s="45" t="s">
        <v>112</v>
      </c>
      <c r="F578" s="45">
        <v>2014</v>
      </c>
      <c r="G578" s="47">
        <v>59661</v>
      </c>
      <c r="H578" s="45" t="s">
        <v>121</v>
      </c>
    </row>
    <row r="579" spans="1:8" x14ac:dyDescent="0.2">
      <c r="A579" s="45" t="s">
        <v>75</v>
      </c>
      <c r="B579" s="45" t="s">
        <v>7</v>
      </c>
      <c r="C579" s="45" t="s">
        <v>111</v>
      </c>
      <c r="D579" s="45" t="s">
        <v>5</v>
      </c>
      <c r="E579" s="45" t="s">
        <v>112</v>
      </c>
      <c r="F579" s="45">
        <v>2014</v>
      </c>
      <c r="G579" s="47">
        <v>7836</v>
      </c>
      <c r="H579" s="45" t="s">
        <v>121</v>
      </c>
    </row>
    <row r="580" spans="1:8" x14ac:dyDescent="0.2">
      <c r="A580" s="45" t="s">
        <v>75</v>
      </c>
      <c r="B580" s="45" t="s">
        <v>7</v>
      </c>
      <c r="C580" s="45" t="s">
        <v>111</v>
      </c>
      <c r="D580" s="45" t="s">
        <v>6</v>
      </c>
      <c r="E580" s="45" t="s">
        <v>112</v>
      </c>
      <c r="F580" s="45">
        <v>2014</v>
      </c>
      <c r="G580" s="47">
        <v>2113</v>
      </c>
      <c r="H580" s="45" t="s">
        <v>121</v>
      </c>
    </row>
    <row r="581" spans="1:8" x14ac:dyDescent="0.2">
      <c r="A581" s="45" t="s">
        <v>76</v>
      </c>
      <c r="B581" s="45" t="s">
        <v>13</v>
      </c>
      <c r="C581" s="45" t="s">
        <v>111</v>
      </c>
      <c r="D581" s="45" t="s">
        <v>5</v>
      </c>
      <c r="E581" s="45" t="s">
        <v>112</v>
      </c>
      <c r="F581" s="45">
        <v>2014</v>
      </c>
      <c r="G581" s="47">
        <v>42392</v>
      </c>
      <c r="H581" s="45" t="s">
        <v>121</v>
      </c>
    </row>
    <row r="582" spans="1:8" x14ac:dyDescent="0.2">
      <c r="A582" s="45" t="s">
        <v>76</v>
      </c>
      <c r="B582" s="45" t="s">
        <v>13</v>
      </c>
      <c r="C582" s="45" t="s">
        <v>111</v>
      </c>
      <c r="D582" s="45" t="s">
        <v>6</v>
      </c>
      <c r="E582" s="45" t="s">
        <v>112</v>
      </c>
      <c r="F582" s="45">
        <v>2014</v>
      </c>
      <c r="G582" s="47">
        <v>12138</v>
      </c>
      <c r="H582" s="45" t="s">
        <v>121</v>
      </c>
    </row>
    <row r="583" spans="1:8" x14ac:dyDescent="0.2">
      <c r="A583" s="45" t="s">
        <v>77</v>
      </c>
      <c r="B583" s="45" t="s">
        <v>4</v>
      </c>
      <c r="C583" s="45" t="s">
        <v>111</v>
      </c>
      <c r="D583" s="45" t="s">
        <v>5</v>
      </c>
      <c r="E583" s="45" t="s">
        <v>112</v>
      </c>
      <c r="F583" s="45">
        <v>2014</v>
      </c>
      <c r="G583" s="47">
        <v>237421</v>
      </c>
      <c r="H583" s="45" t="s">
        <v>113</v>
      </c>
    </row>
    <row r="584" spans="1:8" x14ac:dyDescent="0.2">
      <c r="A584" s="45" t="s">
        <v>77</v>
      </c>
      <c r="B584" s="45" t="s">
        <v>4</v>
      </c>
      <c r="C584" s="45" t="s">
        <v>111</v>
      </c>
      <c r="D584" s="45" t="s">
        <v>6</v>
      </c>
      <c r="E584" s="45" t="s">
        <v>112</v>
      </c>
      <c r="F584" s="45">
        <v>2014</v>
      </c>
      <c r="G584" s="47">
        <v>80449</v>
      </c>
      <c r="H584" s="45" t="s">
        <v>113</v>
      </c>
    </row>
    <row r="585" spans="1:8" x14ac:dyDescent="0.2">
      <c r="A585" s="45" t="s">
        <v>78</v>
      </c>
      <c r="B585" s="45" t="s">
        <v>7</v>
      </c>
      <c r="C585" s="45" t="s">
        <v>111</v>
      </c>
      <c r="D585" s="45" t="s">
        <v>5</v>
      </c>
      <c r="E585" s="45" t="s">
        <v>112</v>
      </c>
      <c r="F585" s="45">
        <v>2014</v>
      </c>
      <c r="G585" s="47">
        <v>370671</v>
      </c>
      <c r="H585" s="45" t="s">
        <v>113</v>
      </c>
    </row>
    <row r="586" spans="1:8" x14ac:dyDescent="0.2">
      <c r="A586" s="45" t="s">
        <v>78</v>
      </c>
      <c r="B586" s="45" t="s">
        <v>7</v>
      </c>
      <c r="C586" s="45" t="s">
        <v>111</v>
      </c>
      <c r="D586" s="45" t="s">
        <v>6</v>
      </c>
      <c r="E586" s="45" t="s">
        <v>112</v>
      </c>
      <c r="F586" s="45">
        <v>2014</v>
      </c>
      <c r="G586" s="47">
        <v>96534</v>
      </c>
      <c r="H586" s="45" t="s">
        <v>113</v>
      </c>
    </row>
    <row r="587" spans="1:8" x14ac:dyDescent="0.2">
      <c r="A587" s="45" t="s">
        <v>79</v>
      </c>
      <c r="B587" s="45" t="s">
        <v>7</v>
      </c>
      <c r="C587" s="45" t="s">
        <v>111</v>
      </c>
      <c r="D587" s="45" t="s">
        <v>5</v>
      </c>
      <c r="E587" s="45" t="s">
        <v>112</v>
      </c>
      <c r="F587" s="45">
        <v>2014</v>
      </c>
      <c r="G587" s="46" t="s">
        <v>33</v>
      </c>
      <c r="H587" s="45" t="s">
        <v>113</v>
      </c>
    </row>
    <row r="588" spans="1:8" x14ac:dyDescent="0.2">
      <c r="A588" s="45" t="s">
        <v>79</v>
      </c>
      <c r="B588" s="45" t="s">
        <v>7</v>
      </c>
      <c r="C588" s="45" t="s">
        <v>111</v>
      </c>
      <c r="D588" s="45" t="s">
        <v>6</v>
      </c>
      <c r="E588" s="45" t="s">
        <v>112</v>
      </c>
      <c r="F588" s="45">
        <v>2014</v>
      </c>
      <c r="G588" s="47">
        <v>3207</v>
      </c>
      <c r="H588" s="45" t="s">
        <v>113</v>
      </c>
    </row>
    <row r="589" spans="1:8" x14ac:dyDescent="0.2">
      <c r="A589" s="45" t="s">
        <v>80</v>
      </c>
      <c r="B589" s="45" t="s">
        <v>13</v>
      </c>
      <c r="C589" s="45" t="s">
        <v>111</v>
      </c>
      <c r="D589" s="45" t="s">
        <v>5</v>
      </c>
      <c r="E589" s="45" t="s">
        <v>112</v>
      </c>
      <c r="F589" s="45">
        <v>2014</v>
      </c>
      <c r="G589" s="47">
        <v>11765</v>
      </c>
      <c r="H589" s="45" t="s">
        <v>121</v>
      </c>
    </row>
    <row r="590" spans="1:8" x14ac:dyDescent="0.2">
      <c r="A590" s="45" t="s">
        <v>80</v>
      </c>
      <c r="B590" s="45" t="s">
        <v>13</v>
      </c>
      <c r="C590" s="45" t="s">
        <v>111</v>
      </c>
      <c r="D590" s="45" t="s">
        <v>6</v>
      </c>
      <c r="E590" s="45" t="s">
        <v>112</v>
      </c>
      <c r="F590" s="45">
        <v>2014</v>
      </c>
      <c r="G590" s="47">
        <v>3819</v>
      </c>
      <c r="H590" s="45" t="s">
        <v>121</v>
      </c>
    </row>
    <row r="591" spans="1:8" x14ac:dyDescent="0.2">
      <c r="A591" s="45" t="s">
        <v>81</v>
      </c>
      <c r="B591" s="45" t="s">
        <v>7</v>
      </c>
      <c r="C591" s="45" t="s">
        <v>111</v>
      </c>
      <c r="D591" s="45" t="s">
        <v>5</v>
      </c>
      <c r="E591" s="45" t="s">
        <v>112</v>
      </c>
      <c r="F591" s="45">
        <v>2014</v>
      </c>
      <c r="G591" s="47">
        <v>39068</v>
      </c>
      <c r="H591" s="45" t="s">
        <v>121</v>
      </c>
    </row>
    <row r="592" spans="1:8" x14ac:dyDescent="0.2">
      <c r="A592" s="45" t="s">
        <v>81</v>
      </c>
      <c r="B592" s="45" t="s">
        <v>7</v>
      </c>
      <c r="C592" s="45" t="s">
        <v>111</v>
      </c>
      <c r="D592" s="45" t="s">
        <v>6</v>
      </c>
      <c r="E592" s="45" t="s">
        <v>112</v>
      </c>
      <c r="F592" s="45">
        <v>2014</v>
      </c>
      <c r="G592" s="47">
        <v>9234</v>
      </c>
      <c r="H592" s="45" t="s">
        <v>121</v>
      </c>
    </row>
    <row r="593" spans="1:8" x14ac:dyDescent="0.2">
      <c r="A593" s="45" t="s">
        <v>82</v>
      </c>
      <c r="B593" s="45" t="s">
        <v>13</v>
      </c>
      <c r="C593" s="45" t="s">
        <v>111</v>
      </c>
      <c r="D593" s="45" t="s">
        <v>5</v>
      </c>
      <c r="E593" s="45" t="s">
        <v>112</v>
      </c>
      <c r="F593" s="45">
        <v>2014</v>
      </c>
      <c r="G593" s="47">
        <v>38733</v>
      </c>
      <c r="H593" s="45" t="s">
        <v>121</v>
      </c>
    </row>
    <row r="594" spans="1:8" x14ac:dyDescent="0.2">
      <c r="A594" s="45" t="s">
        <v>82</v>
      </c>
      <c r="B594" s="45" t="s">
        <v>13</v>
      </c>
      <c r="C594" s="45" t="s">
        <v>111</v>
      </c>
      <c r="D594" s="45" t="s">
        <v>6</v>
      </c>
      <c r="E594" s="45" t="s">
        <v>112</v>
      </c>
      <c r="F594" s="45">
        <v>2014</v>
      </c>
      <c r="G594" s="47">
        <v>16352</v>
      </c>
      <c r="H594" s="45" t="s">
        <v>121</v>
      </c>
    </row>
    <row r="595" spans="1:8" x14ac:dyDescent="0.2">
      <c r="A595" s="45" t="s">
        <v>83</v>
      </c>
      <c r="B595" s="45" t="s">
        <v>13</v>
      </c>
      <c r="C595" s="45" t="s">
        <v>111</v>
      </c>
      <c r="D595" s="45" t="s">
        <v>5</v>
      </c>
      <c r="E595" s="45" t="s">
        <v>112</v>
      </c>
      <c r="F595" s="45">
        <v>2014</v>
      </c>
      <c r="G595" s="47">
        <v>2499</v>
      </c>
      <c r="H595" s="45" t="s">
        <v>121</v>
      </c>
    </row>
    <row r="596" spans="1:8" x14ac:dyDescent="0.2">
      <c r="A596" s="45" t="s">
        <v>83</v>
      </c>
      <c r="B596" s="45" t="s">
        <v>13</v>
      </c>
      <c r="C596" s="45" t="s">
        <v>111</v>
      </c>
      <c r="D596" s="45" t="s">
        <v>6</v>
      </c>
      <c r="E596" s="45" t="s">
        <v>112</v>
      </c>
      <c r="F596" s="45">
        <v>2014</v>
      </c>
      <c r="G596" s="46" t="s">
        <v>128</v>
      </c>
      <c r="H596" s="45" t="s">
        <v>121</v>
      </c>
    </row>
    <row r="597" spans="1:8" x14ac:dyDescent="0.2">
      <c r="A597" s="45" t="s">
        <v>84</v>
      </c>
      <c r="B597" s="45" t="s">
        <v>13</v>
      </c>
      <c r="C597" s="45" t="s">
        <v>111</v>
      </c>
      <c r="D597" s="45" t="s">
        <v>5</v>
      </c>
      <c r="E597" s="45" t="s">
        <v>112</v>
      </c>
      <c r="F597" s="45">
        <v>2014</v>
      </c>
      <c r="G597" s="47">
        <v>208028</v>
      </c>
      <c r="H597" s="45" t="s">
        <v>121</v>
      </c>
    </row>
    <row r="598" spans="1:8" x14ac:dyDescent="0.2">
      <c r="A598" s="45" t="s">
        <v>84</v>
      </c>
      <c r="B598" s="45" t="s">
        <v>13</v>
      </c>
      <c r="C598" s="45" t="s">
        <v>111</v>
      </c>
      <c r="D598" s="45" t="s">
        <v>6</v>
      </c>
      <c r="E598" s="45" t="s">
        <v>112</v>
      </c>
      <c r="F598" s="45">
        <v>2014</v>
      </c>
      <c r="G598" s="47">
        <v>58164</v>
      </c>
      <c r="H598" s="45" t="s">
        <v>121</v>
      </c>
    </row>
    <row r="599" spans="1:8" x14ac:dyDescent="0.2">
      <c r="A599" s="45" t="s">
        <v>85</v>
      </c>
      <c r="B599" s="45" t="s">
        <v>7</v>
      </c>
      <c r="C599" s="45" t="s">
        <v>111</v>
      </c>
      <c r="D599" s="45" t="s">
        <v>5</v>
      </c>
      <c r="E599" s="45" t="s">
        <v>112</v>
      </c>
      <c r="F599" s="45">
        <v>2014</v>
      </c>
      <c r="G599" s="46" t="s">
        <v>135</v>
      </c>
      <c r="H599" s="45" t="s">
        <v>113</v>
      </c>
    </row>
    <row r="600" spans="1:8" x14ac:dyDescent="0.2">
      <c r="A600" s="45" t="s">
        <v>85</v>
      </c>
      <c r="B600" s="45" t="s">
        <v>7</v>
      </c>
      <c r="C600" s="45" t="s">
        <v>111</v>
      </c>
      <c r="D600" s="45" t="s">
        <v>6</v>
      </c>
      <c r="E600" s="45" t="s">
        <v>112</v>
      </c>
      <c r="F600" s="45">
        <v>2014</v>
      </c>
      <c r="G600" s="46"/>
      <c r="H600" s="45" t="s">
        <v>113</v>
      </c>
    </row>
    <row r="601" spans="1:8" x14ac:dyDescent="0.2">
      <c r="A601" s="45" t="s">
        <v>86</v>
      </c>
      <c r="B601" s="45" t="s">
        <v>13</v>
      </c>
      <c r="C601" s="45" t="s">
        <v>111</v>
      </c>
      <c r="D601" s="45" t="s">
        <v>5</v>
      </c>
      <c r="E601" s="45" t="s">
        <v>112</v>
      </c>
      <c r="F601" s="45">
        <v>2014</v>
      </c>
      <c r="G601" s="46" t="s">
        <v>44</v>
      </c>
      <c r="H601" s="45" t="s">
        <v>121</v>
      </c>
    </row>
    <row r="602" spans="1:8" x14ac:dyDescent="0.2">
      <c r="A602" s="45" t="s">
        <v>86</v>
      </c>
      <c r="B602" s="45" t="s">
        <v>13</v>
      </c>
      <c r="C602" s="45" t="s">
        <v>111</v>
      </c>
      <c r="D602" s="45" t="s">
        <v>6</v>
      </c>
      <c r="E602" s="45" t="s">
        <v>112</v>
      </c>
      <c r="F602" s="45">
        <v>2014</v>
      </c>
      <c r="G602" s="47">
        <v>1802</v>
      </c>
      <c r="H602" s="45" t="s">
        <v>121</v>
      </c>
    </row>
    <row r="603" spans="1:8" x14ac:dyDescent="0.2">
      <c r="A603" s="45" t="s">
        <v>87</v>
      </c>
      <c r="B603" s="45" t="s">
        <v>13</v>
      </c>
      <c r="C603" s="45" t="s">
        <v>111</v>
      </c>
      <c r="D603" s="45" t="s">
        <v>5</v>
      </c>
      <c r="E603" s="45" t="s">
        <v>112</v>
      </c>
      <c r="F603" s="45">
        <v>2014</v>
      </c>
      <c r="G603" s="47">
        <v>2451</v>
      </c>
      <c r="H603" s="45" t="s">
        <v>121</v>
      </c>
    </row>
    <row r="604" spans="1:8" x14ac:dyDescent="0.2">
      <c r="A604" s="45" t="s">
        <v>87</v>
      </c>
      <c r="B604" s="45" t="s">
        <v>13</v>
      </c>
      <c r="C604" s="45" t="s">
        <v>111</v>
      </c>
      <c r="D604" s="45" t="s">
        <v>6</v>
      </c>
      <c r="E604" s="45" t="s">
        <v>112</v>
      </c>
      <c r="F604" s="45">
        <v>2014</v>
      </c>
      <c r="G604" s="46" t="s">
        <v>139</v>
      </c>
      <c r="H604" s="45" t="s">
        <v>121</v>
      </c>
    </row>
    <row r="605" spans="1:8" x14ac:dyDescent="0.2">
      <c r="A605" s="45" t="s">
        <v>88</v>
      </c>
      <c r="B605" s="45" t="s">
        <v>13</v>
      </c>
      <c r="C605" s="45" t="s">
        <v>111</v>
      </c>
      <c r="D605" s="45" t="s">
        <v>5</v>
      </c>
      <c r="E605" s="45" t="s">
        <v>112</v>
      </c>
      <c r="F605" s="45">
        <v>2014</v>
      </c>
      <c r="G605" s="47">
        <v>7456</v>
      </c>
      <c r="H605" s="45" t="s">
        <v>121</v>
      </c>
    </row>
    <row r="606" spans="1:8" x14ac:dyDescent="0.2">
      <c r="A606" s="45" t="s">
        <v>88</v>
      </c>
      <c r="B606" s="45" t="s">
        <v>13</v>
      </c>
      <c r="C606" s="45" t="s">
        <v>111</v>
      </c>
      <c r="D606" s="45" t="s">
        <v>6</v>
      </c>
      <c r="E606" s="45" t="s">
        <v>112</v>
      </c>
      <c r="F606" s="45">
        <v>2014</v>
      </c>
      <c r="G606" s="47">
        <v>3176</v>
      </c>
      <c r="H606" s="45" t="s">
        <v>121</v>
      </c>
    </row>
    <row r="607" spans="1:8" x14ac:dyDescent="0.2">
      <c r="A607" s="45" t="s">
        <v>89</v>
      </c>
      <c r="B607" s="45" t="s">
        <v>7</v>
      </c>
      <c r="C607" s="45" t="s">
        <v>111</v>
      </c>
      <c r="D607" s="45" t="s">
        <v>5</v>
      </c>
      <c r="E607" s="45" t="s">
        <v>112</v>
      </c>
      <c r="F607" s="45">
        <v>2014</v>
      </c>
      <c r="G607" s="47">
        <v>1939</v>
      </c>
      <c r="H607" s="45" t="s">
        <v>113</v>
      </c>
    </row>
    <row r="608" spans="1:8" x14ac:dyDescent="0.2">
      <c r="A608" s="45" t="s">
        <v>89</v>
      </c>
      <c r="B608" s="45" t="s">
        <v>7</v>
      </c>
      <c r="C608" s="45" t="s">
        <v>111</v>
      </c>
      <c r="D608" s="45" t="s">
        <v>6</v>
      </c>
      <c r="E608" s="45" t="s">
        <v>112</v>
      </c>
      <c r="F608" s="45">
        <v>2014</v>
      </c>
      <c r="G608" s="46" t="s">
        <v>141</v>
      </c>
      <c r="H608" s="45" t="s">
        <v>113</v>
      </c>
    </row>
    <row r="609" spans="1:8" x14ac:dyDescent="0.2">
      <c r="A609" s="45" t="s">
        <v>90</v>
      </c>
      <c r="B609" s="45" t="s">
        <v>7</v>
      </c>
      <c r="C609" s="45" t="s">
        <v>111</v>
      </c>
      <c r="D609" s="45" t="s">
        <v>5</v>
      </c>
      <c r="E609" s="45" t="s">
        <v>112</v>
      </c>
      <c r="F609" s="45">
        <v>2014</v>
      </c>
      <c r="G609" s="47">
        <v>2537</v>
      </c>
      <c r="H609" s="45" t="s">
        <v>121</v>
      </c>
    </row>
    <row r="610" spans="1:8" x14ac:dyDescent="0.2">
      <c r="A610" s="45" t="s">
        <v>90</v>
      </c>
      <c r="B610" s="45" t="s">
        <v>7</v>
      </c>
      <c r="C610" s="45" t="s">
        <v>111</v>
      </c>
      <c r="D610" s="45" t="s">
        <v>6</v>
      </c>
      <c r="E610" s="45" t="s">
        <v>112</v>
      </c>
      <c r="F610" s="45">
        <v>2014</v>
      </c>
      <c r="G610" s="46" t="s">
        <v>47</v>
      </c>
      <c r="H610" s="45" t="s">
        <v>121</v>
      </c>
    </row>
    <row r="611" spans="1:8" x14ac:dyDescent="0.2">
      <c r="A611" s="45" t="s">
        <v>91</v>
      </c>
      <c r="B611" s="45" t="s">
        <v>13</v>
      </c>
      <c r="C611" s="45" t="s">
        <v>111</v>
      </c>
      <c r="D611" s="45" t="s">
        <v>5</v>
      </c>
      <c r="E611" s="45" t="s">
        <v>112</v>
      </c>
      <c r="F611" s="45">
        <v>2014</v>
      </c>
      <c r="G611" s="47">
        <v>120102</v>
      </c>
      <c r="H611" s="45" t="s">
        <v>121</v>
      </c>
    </row>
    <row r="612" spans="1:8" x14ac:dyDescent="0.2">
      <c r="A612" s="45" t="s">
        <v>91</v>
      </c>
      <c r="B612" s="45" t="s">
        <v>13</v>
      </c>
      <c r="C612" s="45" t="s">
        <v>111</v>
      </c>
      <c r="D612" s="45" t="s">
        <v>6</v>
      </c>
      <c r="E612" s="45" t="s">
        <v>112</v>
      </c>
      <c r="F612" s="45">
        <v>2014</v>
      </c>
      <c r="G612" s="47">
        <v>23697</v>
      </c>
      <c r="H612" s="45" t="s">
        <v>121</v>
      </c>
    </row>
    <row r="613" spans="1:8" x14ac:dyDescent="0.2">
      <c r="A613" s="45" t="s">
        <v>92</v>
      </c>
      <c r="B613" s="45" t="s">
        <v>13</v>
      </c>
      <c r="C613" s="45" t="s">
        <v>111</v>
      </c>
      <c r="D613" s="45" t="s">
        <v>5</v>
      </c>
      <c r="E613" s="45" t="s">
        <v>112</v>
      </c>
      <c r="F613" s="45">
        <v>2014</v>
      </c>
      <c r="G613" s="47">
        <v>35113</v>
      </c>
      <c r="H613" s="45" t="s">
        <v>121</v>
      </c>
    </row>
    <row r="614" spans="1:8" x14ac:dyDescent="0.2">
      <c r="A614" s="45" t="s">
        <v>92</v>
      </c>
      <c r="B614" s="45" t="s">
        <v>13</v>
      </c>
      <c r="C614" s="45" t="s">
        <v>111</v>
      </c>
      <c r="D614" s="45" t="s">
        <v>6</v>
      </c>
      <c r="E614" s="45" t="s">
        <v>112</v>
      </c>
      <c r="F614" s="45">
        <v>2014</v>
      </c>
      <c r="G614" s="47">
        <v>9482</v>
      </c>
      <c r="H614" s="45" t="s">
        <v>121</v>
      </c>
    </row>
    <row r="615" spans="1:8" x14ac:dyDescent="0.2">
      <c r="A615" s="45" t="s">
        <v>93</v>
      </c>
      <c r="B615" s="45" t="s">
        <v>13</v>
      </c>
      <c r="C615" s="45" t="s">
        <v>111</v>
      </c>
      <c r="D615" s="45" t="s">
        <v>5</v>
      </c>
      <c r="E615" s="45" t="s">
        <v>112</v>
      </c>
      <c r="F615" s="45">
        <v>2014</v>
      </c>
      <c r="G615" s="47">
        <v>122282</v>
      </c>
      <c r="H615" s="45" t="s">
        <v>121</v>
      </c>
    </row>
    <row r="616" spans="1:8" x14ac:dyDescent="0.2">
      <c r="A616" s="45" t="s">
        <v>93</v>
      </c>
      <c r="B616" s="45" t="s">
        <v>13</v>
      </c>
      <c r="C616" s="45" t="s">
        <v>111</v>
      </c>
      <c r="D616" s="45" t="s">
        <v>6</v>
      </c>
      <c r="E616" s="45" t="s">
        <v>112</v>
      </c>
      <c r="F616" s="45">
        <v>2014</v>
      </c>
      <c r="G616" s="47">
        <v>31169</v>
      </c>
      <c r="H616" s="45" t="s">
        <v>121</v>
      </c>
    </row>
    <row r="617" spans="1:8" x14ac:dyDescent="0.2">
      <c r="A617" s="45" t="s">
        <v>94</v>
      </c>
      <c r="B617" s="45" t="s">
        <v>13</v>
      </c>
      <c r="C617" s="45" t="s">
        <v>111</v>
      </c>
      <c r="D617" s="45" t="s">
        <v>5</v>
      </c>
      <c r="E617" s="45" t="s">
        <v>112</v>
      </c>
      <c r="F617" s="45">
        <v>2014</v>
      </c>
      <c r="G617" s="47">
        <v>39556</v>
      </c>
      <c r="H617" s="45" t="s">
        <v>121</v>
      </c>
    </row>
    <row r="618" spans="1:8" x14ac:dyDescent="0.2">
      <c r="A618" s="45" t="s">
        <v>94</v>
      </c>
      <c r="B618" s="45" t="s">
        <v>13</v>
      </c>
      <c r="C618" s="45" t="s">
        <v>111</v>
      </c>
      <c r="D618" s="45" t="s">
        <v>6</v>
      </c>
      <c r="E618" s="45" t="s">
        <v>112</v>
      </c>
      <c r="F618" s="45">
        <v>2014</v>
      </c>
      <c r="G618" s="47">
        <v>9937</v>
      </c>
      <c r="H618" s="45" t="s">
        <v>121</v>
      </c>
    </row>
    <row r="619" spans="1:8" x14ac:dyDescent="0.2">
      <c r="A619" s="45" t="s">
        <v>95</v>
      </c>
      <c r="B619" s="45" t="s">
        <v>52</v>
      </c>
      <c r="C619" s="45" t="s">
        <v>111</v>
      </c>
      <c r="D619" s="45" t="s">
        <v>5</v>
      </c>
      <c r="E619" s="45" t="s">
        <v>112</v>
      </c>
      <c r="F619" s="45">
        <v>2014</v>
      </c>
      <c r="G619" s="47">
        <v>14748</v>
      </c>
      <c r="H619" s="45" t="s">
        <v>121</v>
      </c>
    </row>
    <row r="620" spans="1:8" x14ac:dyDescent="0.2">
      <c r="A620" s="45" t="s">
        <v>95</v>
      </c>
      <c r="B620" s="45" t="s">
        <v>52</v>
      </c>
      <c r="C620" s="45" t="s">
        <v>111</v>
      </c>
      <c r="D620" s="45" t="s">
        <v>6</v>
      </c>
      <c r="E620" s="45" t="s">
        <v>112</v>
      </c>
      <c r="F620" s="45">
        <v>2014</v>
      </c>
      <c r="G620" s="47">
        <v>8778</v>
      </c>
      <c r="H620" s="45" t="s">
        <v>121</v>
      </c>
    </row>
    <row r="621" spans="1:8" x14ac:dyDescent="0.2">
      <c r="A621" s="45" t="s">
        <v>96</v>
      </c>
      <c r="B621" s="45" t="s">
        <v>7</v>
      </c>
      <c r="C621" s="45" t="s">
        <v>111</v>
      </c>
      <c r="D621" s="45" t="s">
        <v>5</v>
      </c>
      <c r="E621" s="45" t="s">
        <v>112</v>
      </c>
      <c r="F621" s="45">
        <v>2014</v>
      </c>
      <c r="G621" s="47">
        <v>10366</v>
      </c>
      <c r="H621" s="45" t="s">
        <v>113</v>
      </c>
    </row>
    <row r="622" spans="1:8" x14ac:dyDescent="0.2">
      <c r="A622" s="45" t="s">
        <v>96</v>
      </c>
      <c r="B622" s="45" t="s">
        <v>7</v>
      </c>
      <c r="C622" s="45" t="s">
        <v>111</v>
      </c>
      <c r="D622" s="45" t="s">
        <v>6</v>
      </c>
      <c r="E622" s="45" t="s">
        <v>112</v>
      </c>
      <c r="F622" s="45">
        <v>2014</v>
      </c>
      <c r="G622" s="47">
        <v>2307</v>
      </c>
      <c r="H622" s="45" t="s">
        <v>113</v>
      </c>
    </row>
    <row r="623" spans="1:8" x14ac:dyDescent="0.2">
      <c r="A623" s="45" t="s">
        <v>97</v>
      </c>
      <c r="B623" s="45" t="s">
        <v>7</v>
      </c>
      <c r="C623" s="45" t="s">
        <v>111</v>
      </c>
      <c r="D623" s="45" t="s">
        <v>5</v>
      </c>
      <c r="E623" s="45" t="s">
        <v>112</v>
      </c>
      <c r="F623" s="45">
        <v>2014</v>
      </c>
      <c r="G623" s="47">
        <v>30477</v>
      </c>
      <c r="H623" s="45" t="s">
        <v>113</v>
      </c>
    </row>
    <row r="624" spans="1:8" x14ac:dyDescent="0.2">
      <c r="A624" s="45" t="s">
        <v>97</v>
      </c>
      <c r="B624" s="45" t="s">
        <v>7</v>
      </c>
      <c r="C624" s="45" t="s">
        <v>111</v>
      </c>
      <c r="D624" s="45" t="s">
        <v>6</v>
      </c>
      <c r="E624" s="45" t="s">
        <v>112</v>
      </c>
      <c r="F624" s="45">
        <v>2014</v>
      </c>
      <c r="G624" s="47">
        <v>5153</v>
      </c>
      <c r="H624" s="45" t="s">
        <v>113</v>
      </c>
    </row>
    <row r="625" spans="1:8" x14ac:dyDescent="0.2">
      <c r="A625" s="45" t="s">
        <v>98</v>
      </c>
      <c r="B625" s="45" t="s">
        <v>7</v>
      </c>
      <c r="C625" s="45" t="s">
        <v>111</v>
      </c>
      <c r="D625" s="45" t="s">
        <v>5</v>
      </c>
      <c r="E625" s="45" t="s">
        <v>112</v>
      </c>
      <c r="F625" s="45">
        <v>2014</v>
      </c>
      <c r="G625" s="46" t="s">
        <v>60</v>
      </c>
      <c r="H625" s="45" t="s">
        <v>121</v>
      </c>
    </row>
    <row r="626" spans="1:8" x14ac:dyDescent="0.2">
      <c r="A626" s="45" t="s">
        <v>98</v>
      </c>
      <c r="B626" s="45" t="s">
        <v>7</v>
      </c>
      <c r="C626" s="45" t="s">
        <v>111</v>
      </c>
      <c r="D626" s="45" t="s">
        <v>6</v>
      </c>
      <c r="E626" s="45" t="s">
        <v>112</v>
      </c>
      <c r="F626" s="45">
        <v>2014</v>
      </c>
      <c r="G626" s="47">
        <v>3522</v>
      </c>
      <c r="H626" s="45" t="s">
        <v>121</v>
      </c>
    </row>
    <row r="627" spans="1:8" x14ac:dyDescent="0.2">
      <c r="A627" s="45" t="s">
        <v>99</v>
      </c>
      <c r="B627" s="45" t="s">
        <v>13</v>
      </c>
      <c r="C627" s="45" t="s">
        <v>111</v>
      </c>
      <c r="D627" s="45" t="s">
        <v>5</v>
      </c>
      <c r="E627" s="45" t="s">
        <v>112</v>
      </c>
      <c r="F627" s="45">
        <v>2014</v>
      </c>
      <c r="G627" s="47">
        <v>83875</v>
      </c>
      <c r="H627" s="45" t="s">
        <v>121</v>
      </c>
    </row>
    <row r="628" spans="1:8" x14ac:dyDescent="0.2">
      <c r="A628" s="45" t="s">
        <v>99</v>
      </c>
      <c r="B628" s="45" t="s">
        <v>13</v>
      </c>
      <c r="C628" s="45" t="s">
        <v>111</v>
      </c>
      <c r="D628" s="45" t="s">
        <v>6</v>
      </c>
      <c r="E628" s="45" t="s">
        <v>112</v>
      </c>
      <c r="F628" s="45">
        <v>2014</v>
      </c>
      <c r="G628" s="47">
        <v>21763</v>
      </c>
      <c r="H628" s="45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67BB-555F-6F4A-8319-47E497AC6D42}">
  <dimension ref="A1:R53"/>
  <sheetViews>
    <sheetView topLeftCell="C1" zoomScale="67" zoomScaleNormal="87" workbookViewId="0">
      <selection activeCell="M7" sqref="M7"/>
    </sheetView>
  </sheetViews>
  <sheetFormatPr baseColWidth="10" defaultRowHeight="16" x14ac:dyDescent="0.2"/>
  <cols>
    <col min="2" max="2" width="29.33203125" customWidth="1"/>
    <col min="3" max="3" width="55.5" customWidth="1"/>
    <col min="5" max="5" width="58" customWidth="1"/>
    <col min="7" max="7" width="10.83203125" style="53"/>
    <col min="8" max="8" width="42.33203125" customWidth="1"/>
    <col min="9" max="9" width="26" customWidth="1"/>
    <col min="10" max="10" width="18" bestFit="1" customWidth="1"/>
    <col min="11" max="11" width="20" bestFit="1" customWidth="1"/>
    <col min="12" max="12" width="8.83203125" bestFit="1" customWidth="1"/>
    <col min="13" max="13" width="17.1640625" bestFit="1" customWidth="1"/>
    <col min="15" max="15" width="18" bestFit="1" customWidth="1"/>
    <col min="16" max="16" width="20" bestFit="1" customWidth="1"/>
    <col min="17" max="17" width="8.83203125" bestFit="1" customWidth="1"/>
    <col min="18" max="18" width="17.1640625" bestFit="1" customWidth="1"/>
  </cols>
  <sheetData>
    <row r="1" spans="1:18" x14ac:dyDescent="0.2">
      <c r="A1" t="s">
        <v>62</v>
      </c>
      <c r="B1" t="s">
        <v>0</v>
      </c>
      <c r="C1" t="s">
        <v>108</v>
      </c>
      <c r="D1" t="s">
        <v>1</v>
      </c>
      <c r="E1" t="s">
        <v>109</v>
      </c>
      <c r="F1" t="s">
        <v>2</v>
      </c>
      <c r="G1" s="50" t="s">
        <v>3</v>
      </c>
      <c r="H1" t="s">
        <v>110</v>
      </c>
    </row>
    <row r="2" spans="1:18" x14ac:dyDescent="0.2">
      <c r="A2" s="45" t="s">
        <v>64</v>
      </c>
      <c r="B2" s="45" t="s">
        <v>7</v>
      </c>
      <c r="C2" s="45" t="s">
        <v>111</v>
      </c>
      <c r="D2" s="45" t="s">
        <v>5</v>
      </c>
      <c r="E2" s="45" t="s">
        <v>112</v>
      </c>
      <c r="F2" s="45">
        <v>2014</v>
      </c>
      <c r="G2" s="52">
        <v>44763</v>
      </c>
      <c r="H2" s="45" t="s">
        <v>113</v>
      </c>
    </row>
    <row r="3" spans="1:18" x14ac:dyDescent="0.2">
      <c r="A3" s="45" t="s">
        <v>64</v>
      </c>
      <c r="B3" s="45" t="s">
        <v>7</v>
      </c>
      <c r="C3" s="45" t="s">
        <v>111</v>
      </c>
      <c r="D3" s="45" t="s">
        <v>6</v>
      </c>
      <c r="E3" s="45" t="s">
        <v>112</v>
      </c>
      <c r="F3" s="45">
        <v>2014</v>
      </c>
      <c r="G3" s="52">
        <v>12142</v>
      </c>
      <c r="H3" s="45" t="s">
        <v>113</v>
      </c>
    </row>
    <row r="4" spans="1:18" x14ac:dyDescent="0.2">
      <c r="A4" s="45" t="s">
        <v>65</v>
      </c>
      <c r="B4" s="45" t="s">
        <v>13</v>
      </c>
      <c r="C4" s="45" t="s">
        <v>111</v>
      </c>
      <c r="D4" s="45" t="s">
        <v>5</v>
      </c>
      <c r="E4" s="45" t="s">
        <v>112</v>
      </c>
      <c r="F4" s="45">
        <v>2014</v>
      </c>
      <c r="G4" s="52">
        <v>57224</v>
      </c>
      <c r="H4" s="45" t="s">
        <v>121</v>
      </c>
    </row>
    <row r="5" spans="1:18" x14ac:dyDescent="0.2">
      <c r="A5" s="45" t="s">
        <v>65</v>
      </c>
      <c r="B5" s="45" t="s">
        <v>13</v>
      </c>
      <c r="C5" s="45" t="s">
        <v>111</v>
      </c>
      <c r="D5" s="45" t="s">
        <v>6</v>
      </c>
      <c r="E5" s="45" t="s">
        <v>112</v>
      </c>
      <c r="F5" s="45">
        <v>2014</v>
      </c>
      <c r="G5" s="52">
        <v>13055</v>
      </c>
      <c r="H5" s="45" t="s">
        <v>121</v>
      </c>
      <c r="J5" s="41" t="s">
        <v>180</v>
      </c>
      <c r="K5" s="41" t="s">
        <v>177</v>
      </c>
      <c r="O5" s="41" t="s">
        <v>180</v>
      </c>
      <c r="P5" s="41" t="s">
        <v>177</v>
      </c>
    </row>
    <row r="6" spans="1:18" x14ac:dyDescent="0.2">
      <c r="A6" s="45" t="s">
        <v>66</v>
      </c>
      <c r="B6" s="45" t="s">
        <v>13</v>
      </c>
      <c r="C6" s="45" t="s">
        <v>111</v>
      </c>
      <c r="D6" s="45" t="s">
        <v>5</v>
      </c>
      <c r="E6" s="45" t="s">
        <v>112</v>
      </c>
      <c r="F6" s="45">
        <v>2014</v>
      </c>
      <c r="G6" s="52">
        <v>20507</v>
      </c>
      <c r="H6" s="45" t="s">
        <v>121</v>
      </c>
      <c r="J6" s="41" t="s">
        <v>178</v>
      </c>
      <c r="K6" t="s">
        <v>6</v>
      </c>
      <c r="L6" t="s">
        <v>5</v>
      </c>
      <c r="M6" t="s">
        <v>179</v>
      </c>
      <c r="O6" s="41" t="s">
        <v>178</v>
      </c>
      <c r="P6" t="s">
        <v>6</v>
      </c>
      <c r="Q6" t="s">
        <v>5</v>
      </c>
      <c r="R6" t="s">
        <v>179</v>
      </c>
    </row>
    <row r="7" spans="1:18" x14ac:dyDescent="0.2">
      <c r="A7" s="45" t="s">
        <v>66</v>
      </c>
      <c r="B7" s="45" t="s">
        <v>13</v>
      </c>
      <c r="C7" s="45" t="s">
        <v>111</v>
      </c>
      <c r="D7" s="45" t="s">
        <v>6</v>
      </c>
      <c r="E7" s="45" t="s">
        <v>112</v>
      </c>
      <c r="F7" s="45">
        <v>2014</v>
      </c>
      <c r="G7" s="52">
        <v>6120</v>
      </c>
      <c r="H7" s="45" t="s">
        <v>121</v>
      </c>
      <c r="J7" s="42" t="s">
        <v>64</v>
      </c>
      <c r="K7" s="53">
        <v>12142</v>
      </c>
      <c r="L7" s="53">
        <v>44763</v>
      </c>
      <c r="M7" s="53">
        <v>56905</v>
      </c>
      <c r="O7" s="42" t="s">
        <v>64</v>
      </c>
      <c r="P7" s="43">
        <v>0.21337316580265356</v>
      </c>
      <c r="Q7" s="43">
        <v>0.78662683419734647</v>
      </c>
      <c r="R7" s="43">
        <v>1</v>
      </c>
    </row>
    <row r="8" spans="1:18" x14ac:dyDescent="0.2">
      <c r="A8" s="45" t="s">
        <v>71</v>
      </c>
      <c r="B8" s="45" t="s">
        <v>17</v>
      </c>
      <c r="C8" s="45" t="s">
        <v>111</v>
      </c>
      <c r="D8" s="45" t="s">
        <v>5</v>
      </c>
      <c r="E8" s="45" t="s">
        <v>112</v>
      </c>
      <c r="F8" s="45">
        <v>2014</v>
      </c>
      <c r="G8" s="52">
        <v>62683</v>
      </c>
      <c r="H8" s="45" t="s">
        <v>113</v>
      </c>
      <c r="J8" s="42" t="s">
        <v>65</v>
      </c>
      <c r="K8" s="53">
        <v>13055</v>
      </c>
      <c r="L8" s="53">
        <v>57224</v>
      </c>
      <c r="M8" s="53">
        <v>70279</v>
      </c>
      <c r="O8" s="42" t="s">
        <v>65</v>
      </c>
      <c r="P8" s="43">
        <v>0.18575961524779805</v>
      </c>
      <c r="Q8" s="43">
        <v>0.81424038475220195</v>
      </c>
      <c r="R8" s="43">
        <v>1</v>
      </c>
    </row>
    <row r="9" spans="1:18" x14ac:dyDescent="0.2">
      <c r="A9" s="45" t="s">
        <v>71</v>
      </c>
      <c r="B9" s="45" t="s">
        <v>17</v>
      </c>
      <c r="C9" s="45" t="s">
        <v>111</v>
      </c>
      <c r="D9" s="45" t="s">
        <v>6</v>
      </c>
      <c r="E9" s="45" t="s">
        <v>112</v>
      </c>
      <c r="F9" s="45">
        <v>2014</v>
      </c>
      <c r="G9" s="52">
        <v>7628</v>
      </c>
      <c r="H9" s="45" t="s">
        <v>113</v>
      </c>
      <c r="J9" s="42" t="s">
        <v>66</v>
      </c>
      <c r="K9" s="53">
        <v>6120</v>
      </c>
      <c r="L9" s="53">
        <v>20507</v>
      </c>
      <c r="M9" s="53">
        <v>26627</v>
      </c>
      <c r="O9" s="42" t="s">
        <v>66</v>
      </c>
      <c r="P9" s="43">
        <v>0.22984188981109399</v>
      </c>
      <c r="Q9" s="43">
        <v>0.77015811018890601</v>
      </c>
      <c r="R9" s="43">
        <v>1</v>
      </c>
    </row>
    <row r="10" spans="1:18" x14ac:dyDescent="0.2">
      <c r="A10" s="45" t="s">
        <v>72</v>
      </c>
      <c r="B10" s="45" t="s">
        <v>13</v>
      </c>
      <c r="C10" s="45" t="s">
        <v>111</v>
      </c>
      <c r="D10" s="45" t="s">
        <v>5</v>
      </c>
      <c r="E10" s="45" t="s">
        <v>112</v>
      </c>
      <c r="F10" s="45">
        <v>2014</v>
      </c>
      <c r="G10" s="52">
        <v>379739</v>
      </c>
      <c r="H10" s="45" t="s">
        <v>121</v>
      </c>
      <c r="J10" s="42" t="s">
        <v>80</v>
      </c>
      <c r="K10" s="53">
        <v>3819</v>
      </c>
      <c r="L10" s="53">
        <v>11765</v>
      </c>
      <c r="M10" s="53">
        <v>15584</v>
      </c>
      <c r="O10" s="42" t="s">
        <v>80</v>
      </c>
      <c r="P10" s="43">
        <v>0.24505903490759753</v>
      </c>
      <c r="Q10" s="43">
        <v>0.75494096509240249</v>
      </c>
      <c r="R10" s="43">
        <v>1</v>
      </c>
    </row>
    <row r="11" spans="1:18" x14ac:dyDescent="0.2">
      <c r="A11" s="45" t="s">
        <v>72</v>
      </c>
      <c r="B11" s="45" t="s">
        <v>13</v>
      </c>
      <c r="C11" s="45" t="s">
        <v>111</v>
      </c>
      <c r="D11" s="45" t="s">
        <v>6</v>
      </c>
      <c r="E11" s="45" t="s">
        <v>112</v>
      </c>
      <c r="F11" s="45">
        <v>2014</v>
      </c>
      <c r="G11" s="52">
        <v>117134</v>
      </c>
      <c r="H11" s="45" t="s">
        <v>121</v>
      </c>
      <c r="J11" s="42" t="s">
        <v>71</v>
      </c>
      <c r="K11" s="53">
        <v>7628</v>
      </c>
      <c r="L11" s="53">
        <v>62683</v>
      </c>
      <c r="M11" s="53">
        <v>70311</v>
      </c>
      <c r="O11" s="42" t="s">
        <v>71</v>
      </c>
      <c r="P11" s="43">
        <v>0.10848942555218956</v>
      </c>
      <c r="Q11" s="43">
        <v>0.89151057444781046</v>
      </c>
      <c r="R11" s="43">
        <v>1</v>
      </c>
    </row>
    <row r="12" spans="1:18" x14ac:dyDescent="0.2">
      <c r="A12" s="45" t="s">
        <v>73</v>
      </c>
      <c r="B12" s="45" t="s">
        <v>13</v>
      </c>
      <c r="C12" s="45" t="s">
        <v>111</v>
      </c>
      <c r="D12" s="45" t="s">
        <v>5</v>
      </c>
      <c r="E12" s="45" t="s">
        <v>112</v>
      </c>
      <c r="F12" s="45">
        <v>2014</v>
      </c>
      <c r="G12" s="52">
        <v>50283</v>
      </c>
      <c r="H12" s="45" t="s">
        <v>121</v>
      </c>
      <c r="J12" s="42" t="s">
        <v>73</v>
      </c>
      <c r="K12" s="53">
        <v>12092</v>
      </c>
      <c r="L12" s="53">
        <v>50283</v>
      </c>
      <c r="M12" s="53">
        <v>62375</v>
      </c>
      <c r="O12" s="42" t="s">
        <v>73</v>
      </c>
      <c r="P12" s="43">
        <v>0.19385971943887775</v>
      </c>
      <c r="Q12" s="43">
        <v>0.80614028056112219</v>
      </c>
      <c r="R12" s="43">
        <v>1</v>
      </c>
    </row>
    <row r="13" spans="1:18" x14ac:dyDescent="0.2">
      <c r="A13" s="45" t="s">
        <v>73</v>
      </c>
      <c r="B13" s="45" t="s">
        <v>13</v>
      </c>
      <c r="C13" s="45" t="s">
        <v>111</v>
      </c>
      <c r="D13" s="45" t="s">
        <v>6</v>
      </c>
      <c r="E13" s="45" t="s">
        <v>112</v>
      </c>
      <c r="F13" s="45">
        <v>2014</v>
      </c>
      <c r="G13" s="52">
        <v>12092</v>
      </c>
      <c r="H13" s="45" t="s">
        <v>121</v>
      </c>
      <c r="J13" s="42" t="s">
        <v>75</v>
      </c>
      <c r="K13" s="53">
        <v>2113</v>
      </c>
      <c r="L13" s="53">
        <v>7836</v>
      </c>
      <c r="M13" s="53">
        <v>9949</v>
      </c>
      <c r="O13" s="42" t="s">
        <v>75</v>
      </c>
      <c r="P13" s="43">
        <v>0.21238315408583777</v>
      </c>
      <c r="Q13" s="43">
        <v>0.78761684591416226</v>
      </c>
      <c r="R13" s="43">
        <v>1</v>
      </c>
    </row>
    <row r="14" spans="1:18" x14ac:dyDescent="0.2">
      <c r="A14" s="45" t="s">
        <v>74</v>
      </c>
      <c r="B14" s="45" t="s">
        <v>13</v>
      </c>
      <c r="C14" s="45" t="s">
        <v>111</v>
      </c>
      <c r="D14" s="45" t="s">
        <v>5</v>
      </c>
      <c r="E14" s="45" t="s">
        <v>112</v>
      </c>
      <c r="F14" s="45">
        <v>2014</v>
      </c>
      <c r="G14" s="52">
        <v>175365</v>
      </c>
      <c r="H14" s="45" t="s">
        <v>121</v>
      </c>
      <c r="J14" s="42" t="s">
        <v>76</v>
      </c>
      <c r="K14" s="53">
        <v>12138</v>
      </c>
      <c r="L14" s="53">
        <v>42392</v>
      </c>
      <c r="M14" s="53">
        <v>54530</v>
      </c>
      <c r="O14" s="42" t="s">
        <v>76</v>
      </c>
      <c r="P14" s="43">
        <v>0.22259306803594353</v>
      </c>
      <c r="Q14" s="43">
        <v>0.77740693196405652</v>
      </c>
      <c r="R14" s="43">
        <v>1</v>
      </c>
    </row>
    <row r="15" spans="1:18" x14ac:dyDescent="0.2">
      <c r="A15" s="45" t="s">
        <v>74</v>
      </c>
      <c r="B15" s="45" t="s">
        <v>13</v>
      </c>
      <c r="C15" s="45" t="s">
        <v>111</v>
      </c>
      <c r="D15" s="45" t="s">
        <v>6</v>
      </c>
      <c r="E15" s="45" t="s">
        <v>112</v>
      </c>
      <c r="F15" s="45">
        <v>2014</v>
      </c>
      <c r="G15" s="52">
        <v>59661</v>
      </c>
      <c r="H15" s="45" t="s">
        <v>121</v>
      </c>
      <c r="J15" s="42" t="s">
        <v>77</v>
      </c>
      <c r="K15" s="53">
        <v>80449</v>
      </c>
      <c r="L15" s="53">
        <v>237421</v>
      </c>
      <c r="M15" s="53">
        <v>317870</v>
      </c>
      <c r="O15" s="42" t="s">
        <v>77</v>
      </c>
      <c r="P15" s="43">
        <v>0.25308774027118003</v>
      </c>
      <c r="Q15" s="43">
        <v>0.74691225972881992</v>
      </c>
      <c r="R15" s="43">
        <v>1</v>
      </c>
    </row>
    <row r="16" spans="1:18" x14ac:dyDescent="0.2">
      <c r="A16" s="45" t="s">
        <v>75</v>
      </c>
      <c r="B16" s="45" t="s">
        <v>7</v>
      </c>
      <c r="C16" s="45" t="s">
        <v>111</v>
      </c>
      <c r="D16" s="45" t="s">
        <v>5</v>
      </c>
      <c r="E16" s="45" t="s">
        <v>112</v>
      </c>
      <c r="F16" s="45">
        <v>2014</v>
      </c>
      <c r="G16" s="52">
        <v>7836</v>
      </c>
      <c r="H16" s="45" t="s">
        <v>121</v>
      </c>
      <c r="J16" s="42" t="s">
        <v>72</v>
      </c>
      <c r="K16" s="53">
        <v>117134</v>
      </c>
      <c r="L16" s="53">
        <v>379739</v>
      </c>
      <c r="M16" s="53">
        <v>496873</v>
      </c>
      <c r="O16" s="42" t="s">
        <v>72</v>
      </c>
      <c r="P16" s="43">
        <v>0.23574233254775365</v>
      </c>
      <c r="Q16" s="43">
        <v>0.76425766745224633</v>
      </c>
      <c r="R16" s="43">
        <v>1</v>
      </c>
    </row>
    <row r="17" spans="1:18" x14ac:dyDescent="0.2">
      <c r="A17" s="45" t="s">
        <v>75</v>
      </c>
      <c r="B17" s="45" t="s">
        <v>7</v>
      </c>
      <c r="C17" s="45" t="s">
        <v>111</v>
      </c>
      <c r="D17" s="45" t="s">
        <v>6</v>
      </c>
      <c r="E17" s="45" t="s">
        <v>112</v>
      </c>
      <c r="F17" s="45">
        <v>2014</v>
      </c>
      <c r="G17" s="52">
        <v>2113</v>
      </c>
      <c r="H17" s="45" t="s">
        <v>121</v>
      </c>
      <c r="J17" s="42" t="s">
        <v>79</v>
      </c>
      <c r="K17" s="53">
        <v>3207</v>
      </c>
      <c r="L17" s="53">
        <v>13410</v>
      </c>
      <c r="M17" s="53">
        <v>16617</v>
      </c>
      <c r="O17" s="42" t="s">
        <v>79</v>
      </c>
      <c r="P17" s="43">
        <v>0.19299512547391226</v>
      </c>
      <c r="Q17" s="43">
        <v>0.80700487452608771</v>
      </c>
      <c r="R17" s="43">
        <v>1</v>
      </c>
    </row>
    <row r="18" spans="1:18" x14ac:dyDescent="0.2">
      <c r="A18" s="45" t="s">
        <v>76</v>
      </c>
      <c r="B18" s="45" t="s">
        <v>13</v>
      </c>
      <c r="C18" s="45" t="s">
        <v>111</v>
      </c>
      <c r="D18" s="45" t="s">
        <v>5</v>
      </c>
      <c r="E18" s="45" t="s">
        <v>112</v>
      </c>
      <c r="F18" s="45">
        <v>2014</v>
      </c>
      <c r="G18" s="52">
        <v>42392</v>
      </c>
      <c r="H18" s="45" t="s">
        <v>121</v>
      </c>
      <c r="J18" s="42" t="s">
        <v>81</v>
      </c>
      <c r="K18" s="53">
        <v>9234</v>
      </c>
      <c r="L18" s="53">
        <v>39068</v>
      </c>
      <c r="M18" s="53">
        <v>48302</v>
      </c>
      <c r="O18" s="42" t="s">
        <v>81</v>
      </c>
      <c r="P18" s="43">
        <v>0.19117220819013706</v>
      </c>
      <c r="Q18" s="43">
        <v>0.80882779180986297</v>
      </c>
      <c r="R18" s="43">
        <v>1</v>
      </c>
    </row>
    <row r="19" spans="1:18" x14ac:dyDescent="0.2">
      <c r="A19" s="45" t="s">
        <v>76</v>
      </c>
      <c r="B19" s="45" t="s">
        <v>13</v>
      </c>
      <c r="C19" s="45" t="s">
        <v>111</v>
      </c>
      <c r="D19" s="45" t="s">
        <v>6</v>
      </c>
      <c r="E19" s="45" t="s">
        <v>112</v>
      </c>
      <c r="F19" s="45">
        <v>2014</v>
      </c>
      <c r="G19" s="52">
        <v>12138</v>
      </c>
      <c r="H19" s="45" t="s">
        <v>121</v>
      </c>
      <c r="J19" s="42" t="s">
        <v>82</v>
      </c>
      <c r="K19" s="53">
        <v>16352</v>
      </c>
      <c r="L19" s="53">
        <v>38733</v>
      </c>
      <c r="M19" s="53">
        <v>55085</v>
      </c>
      <c r="O19" s="42" t="s">
        <v>82</v>
      </c>
      <c r="P19" s="43">
        <v>0.29685032222928204</v>
      </c>
      <c r="Q19" s="43">
        <v>0.70314967777071802</v>
      </c>
      <c r="R19" s="43">
        <v>1</v>
      </c>
    </row>
    <row r="20" spans="1:18" x14ac:dyDescent="0.2">
      <c r="A20" s="45" t="s">
        <v>77</v>
      </c>
      <c r="B20" s="45" t="s">
        <v>4</v>
      </c>
      <c r="C20" s="45" t="s">
        <v>111</v>
      </c>
      <c r="D20" s="45" t="s">
        <v>5</v>
      </c>
      <c r="E20" s="45" t="s">
        <v>112</v>
      </c>
      <c r="F20" s="45">
        <v>2014</v>
      </c>
      <c r="G20" s="52">
        <v>237421</v>
      </c>
      <c r="H20" s="45" t="s">
        <v>113</v>
      </c>
      <c r="J20" s="42" t="s">
        <v>84</v>
      </c>
      <c r="K20" s="53">
        <v>58164</v>
      </c>
      <c r="L20" s="53">
        <v>208028</v>
      </c>
      <c r="M20" s="53">
        <v>266192</v>
      </c>
      <c r="O20" s="42" t="s">
        <v>84</v>
      </c>
      <c r="P20" s="43">
        <v>0.21850393700787402</v>
      </c>
      <c r="Q20" s="43">
        <v>0.78149606299212604</v>
      </c>
      <c r="R20" s="43">
        <v>1</v>
      </c>
    </row>
    <row r="21" spans="1:18" x14ac:dyDescent="0.2">
      <c r="A21" s="45" t="s">
        <v>77</v>
      </c>
      <c r="B21" s="45" t="s">
        <v>4</v>
      </c>
      <c r="C21" s="45" t="s">
        <v>111</v>
      </c>
      <c r="D21" s="45" t="s">
        <v>6</v>
      </c>
      <c r="E21" s="45" t="s">
        <v>112</v>
      </c>
      <c r="F21" s="45">
        <v>2014</v>
      </c>
      <c r="G21" s="52">
        <v>80449</v>
      </c>
      <c r="H21" s="45" t="s">
        <v>113</v>
      </c>
      <c r="J21" s="42" t="s">
        <v>88</v>
      </c>
      <c r="K21" s="53">
        <v>3176</v>
      </c>
      <c r="L21" s="53">
        <v>7456</v>
      </c>
      <c r="M21" s="53">
        <v>10632</v>
      </c>
      <c r="O21" s="42" t="s">
        <v>88</v>
      </c>
      <c r="P21" s="43">
        <v>0.29872084273890143</v>
      </c>
      <c r="Q21" s="43">
        <v>0.70127915726109857</v>
      </c>
      <c r="R21" s="43">
        <v>1</v>
      </c>
    </row>
    <row r="22" spans="1:18" x14ac:dyDescent="0.2">
      <c r="A22" s="45" t="s">
        <v>79</v>
      </c>
      <c r="B22" s="45" t="s">
        <v>7</v>
      </c>
      <c r="C22" s="45" t="s">
        <v>111</v>
      </c>
      <c r="D22" s="45" t="s">
        <v>5</v>
      </c>
      <c r="E22" s="45" t="s">
        <v>112</v>
      </c>
      <c r="F22" s="45">
        <v>2014</v>
      </c>
      <c r="G22" s="52">
        <v>13410</v>
      </c>
      <c r="H22" s="45" t="s">
        <v>113</v>
      </c>
      <c r="J22" s="42" t="s">
        <v>86</v>
      </c>
      <c r="K22" s="53">
        <v>1802</v>
      </c>
      <c r="L22" s="53">
        <v>7760</v>
      </c>
      <c r="M22" s="53">
        <v>9562</v>
      </c>
      <c r="O22" s="42" t="s">
        <v>86</v>
      </c>
      <c r="P22" s="43">
        <v>0.18845429826396151</v>
      </c>
      <c r="Q22" s="43">
        <v>0.81154570173603846</v>
      </c>
      <c r="R22" s="43">
        <v>1</v>
      </c>
    </row>
    <row r="23" spans="1:18" x14ac:dyDescent="0.2">
      <c r="A23" s="45" t="s">
        <v>79</v>
      </c>
      <c r="B23" s="45" t="s">
        <v>7</v>
      </c>
      <c r="C23" s="45" t="s">
        <v>111</v>
      </c>
      <c r="D23" s="45" t="s">
        <v>6</v>
      </c>
      <c r="E23" s="45" t="s">
        <v>112</v>
      </c>
      <c r="F23" s="45">
        <v>2014</v>
      </c>
      <c r="G23" s="52">
        <v>3207</v>
      </c>
      <c r="H23" s="45" t="s">
        <v>113</v>
      </c>
      <c r="J23" s="42" t="s">
        <v>87</v>
      </c>
      <c r="K23" s="53">
        <v>746</v>
      </c>
      <c r="L23" s="53">
        <v>2451</v>
      </c>
      <c r="M23" s="53">
        <v>3197</v>
      </c>
      <c r="O23" s="42" t="s">
        <v>87</v>
      </c>
      <c r="P23" s="43">
        <v>0.23334375977478886</v>
      </c>
      <c r="Q23" s="43">
        <v>0.76665624022521117</v>
      </c>
      <c r="R23" s="43">
        <v>1</v>
      </c>
    </row>
    <row r="24" spans="1:18" x14ac:dyDescent="0.2">
      <c r="A24" s="45" t="s">
        <v>80</v>
      </c>
      <c r="B24" s="45" t="s">
        <v>13</v>
      </c>
      <c r="C24" s="45" t="s">
        <v>111</v>
      </c>
      <c r="D24" s="45" t="s">
        <v>5</v>
      </c>
      <c r="E24" s="45" t="s">
        <v>112</v>
      </c>
      <c r="F24" s="45">
        <v>2014</v>
      </c>
      <c r="G24" s="52">
        <v>11765</v>
      </c>
      <c r="H24" s="45" t="s">
        <v>121</v>
      </c>
      <c r="J24" s="42" t="s">
        <v>90</v>
      </c>
      <c r="K24" s="53">
        <v>450</v>
      </c>
      <c r="L24" s="53">
        <v>2537</v>
      </c>
      <c r="M24" s="53">
        <v>2987</v>
      </c>
      <c r="O24" s="42" t="s">
        <v>90</v>
      </c>
      <c r="P24" s="43">
        <v>0.15065282892534315</v>
      </c>
      <c r="Q24" s="43">
        <v>0.84934717107465685</v>
      </c>
      <c r="R24" s="43">
        <v>1</v>
      </c>
    </row>
    <row r="25" spans="1:18" x14ac:dyDescent="0.2">
      <c r="A25" s="45" t="s">
        <v>80</v>
      </c>
      <c r="B25" s="45" t="s">
        <v>13</v>
      </c>
      <c r="C25" s="45" t="s">
        <v>111</v>
      </c>
      <c r="D25" s="45" t="s">
        <v>6</v>
      </c>
      <c r="E25" s="45" t="s">
        <v>112</v>
      </c>
      <c r="F25" s="45">
        <v>2014</v>
      </c>
      <c r="G25" s="52">
        <v>3819</v>
      </c>
      <c r="H25" s="45" t="s">
        <v>121</v>
      </c>
      <c r="J25" s="42" t="s">
        <v>91</v>
      </c>
      <c r="K25" s="53">
        <v>23697</v>
      </c>
      <c r="L25" s="53">
        <v>120102</v>
      </c>
      <c r="M25" s="53">
        <v>143799</v>
      </c>
      <c r="O25" s="42" t="s">
        <v>91</v>
      </c>
      <c r="P25" s="43">
        <v>0.16479252289654309</v>
      </c>
      <c r="Q25" s="43">
        <v>0.83520747710345689</v>
      </c>
      <c r="R25" s="43">
        <v>1</v>
      </c>
    </row>
    <row r="26" spans="1:18" x14ac:dyDescent="0.2">
      <c r="A26" s="45" t="s">
        <v>81</v>
      </c>
      <c r="B26" s="45" t="s">
        <v>7</v>
      </c>
      <c r="C26" s="45" t="s">
        <v>111</v>
      </c>
      <c r="D26" s="45" t="s">
        <v>5</v>
      </c>
      <c r="E26" s="45" t="s">
        <v>112</v>
      </c>
      <c r="F26" s="45">
        <v>2014</v>
      </c>
      <c r="G26" s="52">
        <v>39068</v>
      </c>
      <c r="H26" s="45" t="s">
        <v>121</v>
      </c>
      <c r="J26" s="42" t="s">
        <v>93</v>
      </c>
      <c r="K26" s="53">
        <v>31169</v>
      </c>
      <c r="L26" s="53">
        <v>122282</v>
      </c>
      <c r="M26" s="53">
        <v>153451</v>
      </c>
      <c r="O26" s="42" t="s">
        <v>93</v>
      </c>
      <c r="P26" s="43">
        <v>0.2031202142703534</v>
      </c>
      <c r="Q26" s="43">
        <v>0.79687978572964657</v>
      </c>
      <c r="R26" s="43">
        <v>1</v>
      </c>
    </row>
    <row r="27" spans="1:18" x14ac:dyDescent="0.2">
      <c r="A27" s="45" t="s">
        <v>81</v>
      </c>
      <c r="B27" s="45" t="s">
        <v>7</v>
      </c>
      <c r="C27" s="45" t="s">
        <v>111</v>
      </c>
      <c r="D27" s="45" t="s">
        <v>6</v>
      </c>
      <c r="E27" s="45" t="s">
        <v>112</v>
      </c>
      <c r="F27" s="45">
        <v>2014</v>
      </c>
      <c r="G27" s="52">
        <v>9234</v>
      </c>
      <c r="H27" s="45" t="s">
        <v>121</v>
      </c>
      <c r="J27" s="42" t="s">
        <v>94</v>
      </c>
      <c r="K27" s="53">
        <v>9937</v>
      </c>
      <c r="L27" s="53">
        <v>39556</v>
      </c>
      <c r="M27" s="53">
        <v>49493</v>
      </c>
      <c r="O27" s="42" t="s">
        <v>94</v>
      </c>
      <c r="P27" s="43">
        <v>0.20077586729436486</v>
      </c>
      <c r="Q27" s="43">
        <v>0.79922413270563519</v>
      </c>
      <c r="R27" s="43">
        <v>1</v>
      </c>
    </row>
    <row r="28" spans="1:18" x14ac:dyDescent="0.2">
      <c r="A28" s="45" t="s">
        <v>82</v>
      </c>
      <c r="B28" s="45" t="s">
        <v>13</v>
      </c>
      <c r="C28" s="45" t="s">
        <v>111</v>
      </c>
      <c r="D28" s="45" t="s">
        <v>5</v>
      </c>
      <c r="E28" s="45" t="s">
        <v>112</v>
      </c>
      <c r="F28" s="45">
        <v>2014</v>
      </c>
      <c r="G28" s="52">
        <v>38733</v>
      </c>
      <c r="H28" s="45" t="s">
        <v>121</v>
      </c>
      <c r="J28" s="42" t="s">
        <v>95</v>
      </c>
      <c r="K28" s="53">
        <v>8778</v>
      </c>
      <c r="L28" s="53">
        <v>14748</v>
      </c>
      <c r="M28" s="53">
        <v>23526</v>
      </c>
      <c r="O28" s="42" t="s">
        <v>95</v>
      </c>
      <c r="P28" s="43">
        <v>0.37311910226982914</v>
      </c>
      <c r="Q28" s="43">
        <v>0.62688089773017086</v>
      </c>
      <c r="R28" s="43">
        <v>1</v>
      </c>
    </row>
    <row r="29" spans="1:18" x14ac:dyDescent="0.2">
      <c r="A29" s="45" t="s">
        <v>82</v>
      </c>
      <c r="B29" s="45" t="s">
        <v>13</v>
      </c>
      <c r="C29" s="45" t="s">
        <v>111</v>
      </c>
      <c r="D29" s="45" t="s">
        <v>6</v>
      </c>
      <c r="E29" s="45" t="s">
        <v>112</v>
      </c>
      <c r="F29" s="45">
        <v>2014</v>
      </c>
      <c r="G29" s="52">
        <v>16352</v>
      </c>
      <c r="H29" s="45" t="s">
        <v>121</v>
      </c>
      <c r="J29" s="42" t="s">
        <v>97</v>
      </c>
      <c r="K29" s="53">
        <v>5153</v>
      </c>
      <c r="L29" s="53">
        <v>30477</v>
      </c>
      <c r="M29" s="53">
        <v>35630</v>
      </c>
      <c r="O29" s="42" t="s">
        <v>97</v>
      </c>
      <c r="P29" s="43">
        <v>0.14462531574515858</v>
      </c>
      <c r="Q29" s="43">
        <v>0.85537468425484142</v>
      </c>
      <c r="R29" s="43">
        <v>1</v>
      </c>
    </row>
    <row r="30" spans="1:18" x14ac:dyDescent="0.2">
      <c r="A30" s="45" t="s">
        <v>84</v>
      </c>
      <c r="B30" s="45" t="s">
        <v>13</v>
      </c>
      <c r="C30" s="45" t="s">
        <v>111</v>
      </c>
      <c r="D30" s="45" t="s">
        <v>5</v>
      </c>
      <c r="E30" s="45" t="s">
        <v>112</v>
      </c>
      <c r="F30" s="45">
        <v>2014</v>
      </c>
      <c r="G30" s="52">
        <v>208028</v>
      </c>
      <c r="H30" s="45" t="s">
        <v>121</v>
      </c>
      <c r="J30" s="42" t="s">
        <v>98</v>
      </c>
      <c r="K30" s="53">
        <v>3522</v>
      </c>
      <c r="L30" s="53">
        <v>10850</v>
      </c>
      <c r="M30" s="53">
        <v>14372</v>
      </c>
      <c r="O30" s="42" t="s">
        <v>98</v>
      </c>
      <c r="P30" s="43">
        <v>0.24505983857500696</v>
      </c>
      <c r="Q30" s="43">
        <v>0.75494016142499309</v>
      </c>
      <c r="R30" s="43">
        <v>1</v>
      </c>
    </row>
    <row r="31" spans="1:18" x14ac:dyDescent="0.2">
      <c r="A31" s="45" t="s">
        <v>84</v>
      </c>
      <c r="B31" s="45" t="s">
        <v>13</v>
      </c>
      <c r="C31" s="45" t="s">
        <v>111</v>
      </c>
      <c r="D31" s="45" t="s">
        <v>6</v>
      </c>
      <c r="E31" s="45" t="s">
        <v>112</v>
      </c>
      <c r="F31" s="45">
        <v>2014</v>
      </c>
      <c r="G31" s="52">
        <v>58164</v>
      </c>
      <c r="H31" s="45" t="s">
        <v>121</v>
      </c>
      <c r="J31" s="42" t="s">
        <v>74</v>
      </c>
      <c r="K31" s="53">
        <v>59661</v>
      </c>
      <c r="L31" s="53">
        <v>175365</v>
      </c>
      <c r="M31" s="53">
        <v>235026</v>
      </c>
      <c r="O31" s="42" t="s">
        <v>74</v>
      </c>
      <c r="P31" s="43">
        <v>0.25384851037757522</v>
      </c>
      <c r="Q31" s="43">
        <v>0.74615148962242472</v>
      </c>
      <c r="R31" s="43">
        <v>1</v>
      </c>
    </row>
    <row r="32" spans="1:18" x14ac:dyDescent="0.2">
      <c r="A32" s="45" t="s">
        <v>86</v>
      </c>
      <c r="B32" s="45" t="s">
        <v>13</v>
      </c>
      <c r="C32" s="45" t="s">
        <v>111</v>
      </c>
      <c r="D32" s="45" t="s">
        <v>5</v>
      </c>
      <c r="E32" s="45" t="s">
        <v>112</v>
      </c>
      <c r="F32" s="45">
        <v>2014</v>
      </c>
      <c r="G32" s="52">
        <v>7760</v>
      </c>
      <c r="H32" s="45" t="s">
        <v>121</v>
      </c>
      <c r="J32" s="42" t="s">
        <v>99</v>
      </c>
      <c r="K32" s="53">
        <v>21763</v>
      </c>
      <c r="L32" s="53">
        <v>83875</v>
      </c>
      <c r="M32" s="53">
        <v>105638</v>
      </c>
      <c r="O32" s="42" t="s">
        <v>99</v>
      </c>
      <c r="P32" s="43">
        <v>0.20601488100872792</v>
      </c>
      <c r="Q32" s="43">
        <v>0.79398511899127211</v>
      </c>
      <c r="R32" s="43">
        <v>1</v>
      </c>
    </row>
    <row r="33" spans="1:18" x14ac:dyDescent="0.2">
      <c r="A33" s="45" t="s">
        <v>86</v>
      </c>
      <c r="B33" s="45" t="s">
        <v>13</v>
      </c>
      <c r="C33" s="45" t="s">
        <v>111</v>
      </c>
      <c r="D33" s="45" t="s">
        <v>6</v>
      </c>
      <c r="E33" s="45" t="s">
        <v>112</v>
      </c>
      <c r="F33" s="45">
        <v>2014</v>
      </c>
      <c r="G33" s="52">
        <v>1802</v>
      </c>
      <c r="H33" s="45" t="s">
        <v>121</v>
      </c>
      <c r="J33" s="42" t="s">
        <v>179</v>
      </c>
      <c r="K33" s="53">
        <v>523501</v>
      </c>
      <c r="L33" s="53">
        <v>1831311</v>
      </c>
      <c r="M33" s="53">
        <v>2354812</v>
      </c>
      <c r="O33" s="42" t="s">
        <v>179</v>
      </c>
      <c r="P33" s="43">
        <v>0.22231116539239651</v>
      </c>
      <c r="Q33" s="43">
        <v>0.77768883460760352</v>
      </c>
      <c r="R33" s="43">
        <v>1</v>
      </c>
    </row>
    <row r="34" spans="1:18" x14ac:dyDescent="0.2">
      <c r="A34" s="45" t="s">
        <v>87</v>
      </c>
      <c r="B34" s="45" t="s">
        <v>13</v>
      </c>
      <c r="C34" s="45" t="s">
        <v>111</v>
      </c>
      <c r="D34" s="45" t="s">
        <v>5</v>
      </c>
      <c r="E34" s="45" t="s">
        <v>112</v>
      </c>
      <c r="F34" s="45">
        <v>2014</v>
      </c>
      <c r="G34" s="52">
        <v>2451</v>
      </c>
      <c r="H34" s="45" t="s">
        <v>121</v>
      </c>
    </row>
    <row r="35" spans="1:18" x14ac:dyDescent="0.2">
      <c r="A35" s="45" t="s">
        <v>87</v>
      </c>
      <c r="B35" s="45" t="s">
        <v>13</v>
      </c>
      <c r="C35" s="45" t="s">
        <v>111</v>
      </c>
      <c r="D35" s="45" t="s">
        <v>6</v>
      </c>
      <c r="E35" s="45" t="s">
        <v>112</v>
      </c>
      <c r="F35" s="45">
        <v>2014</v>
      </c>
      <c r="G35" s="52">
        <v>746</v>
      </c>
      <c r="H35" s="45" t="s">
        <v>121</v>
      </c>
    </row>
    <row r="36" spans="1:18" x14ac:dyDescent="0.2">
      <c r="A36" s="45" t="s">
        <v>88</v>
      </c>
      <c r="B36" s="45" t="s">
        <v>13</v>
      </c>
      <c r="C36" s="45" t="s">
        <v>111</v>
      </c>
      <c r="D36" s="45" t="s">
        <v>5</v>
      </c>
      <c r="E36" s="45" t="s">
        <v>112</v>
      </c>
      <c r="F36" s="45">
        <v>2014</v>
      </c>
      <c r="G36" s="52">
        <v>7456</v>
      </c>
      <c r="H36" s="45" t="s">
        <v>121</v>
      </c>
    </row>
    <row r="37" spans="1:18" x14ac:dyDescent="0.2">
      <c r="A37" s="45" t="s">
        <v>88</v>
      </c>
      <c r="B37" s="45" t="s">
        <v>13</v>
      </c>
      <c r="C37" s="45" t="s">
        <v>111</v>
      </c>
      <c r="D37" s="45" t="s">
        <v>6</v>
      </c>
      <c r="E37" s="45" t="s">
        <v>112</v>
      </c>
      <c r="F37" s="45">
        <v>2014</v>
      </c>
      <c r="G37" s="52">
        <v>3176</v>
      </c>
      <c r="H37" s="45" t="s">
        <v>121</v>
      </c>
    </row>
    <row r="38" spans="1:18" x14ac:dyDescent="0.2">
      <c r="A38" s="45" t="s">
        <v>90</v>
      </c>
      <c r="B38" s="45" t="s">
        <v>7</v>
      </c>
      <c r="C38" s="45" t="s">
        <v>111</v>
      </c>
      <c r="D38" s="45" t="s">
        <v>5</v>
      </c>
      <c r="E38" s="45" t="s">
        <v>112</v>
      </c>
      <c r="F38" s="45">
        <v>2014</v>
      </c>
      <c r="G38" s="52">
        <v>2537</v>
      </c>
      <c r="H38" s="45" t="s">
        <v>121</v>
      </c>
    </row>
    <row r="39" spans="1:18" x14ac:dyDescent="0.2">
      <c r="A39" s="45" t="s">
        <v>90</v>
      </c>
      <c r="B39" s="45" t="s">
        <v>7</v>
      </c>
      <c r="C39" s="45" t="s">
        <v>111</v>
      </c>
      <c r="D39" s="45" t="s">
        <v>6</v>
      </c>
      <c r="E39" s="45" t="s">
        <v>112</v>
      </c>
      <c r="F39" s="45">
        <v>2014</v>
      </c>
      <c r="G39" s="52">
        <v>450</v>
      </c>
      <c r="H39" s="45" t="s">
        <v>121</v>
      </c>
    </row>
    <row r="40" spans="1:18" x14ac:dyDescent="0.2">
      <c r="A40" s="45" t="s">
        <v>91</v>
      </c>
      <c r="B40" s="45" t="s">
        <v>13</v>
      </c>
      <c r="C40" s="45" t="s">
        <v>111</v>
      </c>
      <c r="D40" s="45" t="s">
        <v>5</v>
      </c>
      <c r="E40" s="45" t="s">
        <v>112</v>
      </c>
      <c r="F40" s="45">
        <v>2014</v>
      </c>
      <c r="G40" s="52">
        <v>120102</v>
      </c>
      <c r="H40" s="45" t="s">
        <v>121</v>
      </c>
    </row>
    <row r="41" spans="1:18" x14ac:dyDescent="0.2">
      <c r="A41" s="45" t="s">
        <v>91</v>
      </c>
      <c r="B41" s="45" t="s">
        <v>13</v>
      </c>
      <c r="C41" s="45" t="s">
        <v>111</v>
      </c>
      <c r="D41" s="45" t="s">
        <v>6</v>
      </c>
      <c r="E41" s="45" t="s">
        <v>112</v>
      </c>
      <c r="F41" s="45">
        <v>2014</v>
      </c>
      <c r="G41" s="52">
        <v>23697</v>
      </c>
      <c r="H41" s="45" t="s">
        <v>121</v>
      </c>
    </row>
    <row r="42" spans="1:18" x14ac:dyDescent="0.2">
      <c r="A42" s="45" t="s">
        <v>93</v>
      </c>
      <c r="B42" s="45" t="s">
        <v>13</v>
      </c>
      <c r="C42" s="45" t="s">
        <v>111</v>
      </c>
      <c r="D42" s="45" t="s">
        <v>5</v>
      </c>
      <c r="E42" s="45" t="s">
        <v>112</v>
      </c>
      <c r="F42" s="45">
        <v>2014</v>
      </c>
      <c r="G42" s="52">
        <v>122282</v>
      </c>
      <c r="H42" s="45" t="s">
        <v>121</v>
      </c>
    </row>
    <row r="43" spans="1:18" x14ac:dyDescent="0.2">
      <c r="A43" s="45" t="s">
        <v>93</v>
      </c>
      <c r="B43" s="45" t="s">
        <v>13</v>
      </c>
      <c r="C43" s="45" t="s">
        <v>111</v>
      </c>
      <c r="D43" s="45" t="s">
        <v>6</v>
      </c>
      <c r="E43" s="45" t="s">
        <v>112</v>
      </c>
      <c r="F43" s="45">
        <v>2014</v>
      </c>
      <c r="G43" s="52">
        <v>31169</v>
      </c>
      <c r="H43" s="45" t="s">
        <v>121</v>
      </c>
    </row>
    <row r="44" spans="1:18" x14ac:dyDescent="0.2">
      <c r="A44" s="45" t="s">
        <v>94</v>
      </c>
      <c r="B44" s="45" t="s">
        <v>13</v>
      </c>
      <c r="C44" s="45" t="s">
        <v>111</v>
      </c>
      <c r="D44" s="45" t="s">
        <v>5</v>
      </c>
      <c r="E44" s="45" t="s">
        <v>112</v>
      </c>
      <c r="F44" s="45">
        <v>2014</v>
      </c>
      <c r="G44" s="52">
        <v>39556</v>
      </c>
      <c r="H44" s="45" t="s">
        <v>121</v>
      </c>
    </row>
    <row r="45" spans="1:18" x14ac:dyDescent="0.2">
      <c r="A45" s="45" t="s">
        <v>94</v>
      </c>
      <c r="B45" s="45" t="s">
        <v>13</v>
      </c>
      <c r="C45" s="45" t="s">
        <v>111</v>
      </c>
      <c r="D45" s="45" t="s">
        <v>6</v>
      </c>
      <c r="E45" s="45" t="s">
        <v>112</v>
      </c>
      <c r="F45" s="45">
        <v>2014</v>
      </c>
      <c r="G45" s="52">
        <v>9937</v>
      </c>
      <c r="H45" s="45" t="s">
        <v>121</v>
      </c>
    </row>
    <row r="46" spans="1:18" x14ac:dyDescent="0.2">
      <c r="A46" s="45" t="s">
        <v>95</v>
      </c>
      <c r="B46" s="45" t="s">
        <v>52</v>
      </c>
      <c r="C46" s="45" t="s">
        <v>111</v>
      </c>
      <c r="D46" s="45" t="s">
        <v>5</v>
      </c>
      <c r="E46" s="45" t="s">
        <v>112</v>
      </c>
      <c r="F46" s="45">
        <v>2014</v>
      </c>
      <c r="G46" s="52">
        <v>14748</v>
      </c>
      <c r="H46" s="45" t="s">
        <v>121</v>
      </c>
    </row>
    <row r="47" spans="1:18" x14ac:dyDescent="0.2">
      <c r="A47" s="45" t="s">
        <v>95</v>
      </c>
      <c r="B47" s="45" t="s">
        <v>52</v>
      </c>
      <c r="C47" s="45" t="s">
        <v>111</v>
      </c>
      <c r="D47" s="45" t="s">
        <v>6</v>
      </c>
      <c r="E47" s="45" t="s">
        <v>112</v>
      </c>
      <c r="F47" s="45">
        <v>2014</v>
      </c>
      <c r="G47" s="52">
        <v>8778</v>
      </c>
      <c r="H47" s="45" t="s">
        <v>121</v>
      </c>
    </row>
    <row r="48" spans="1:18" x14ac:dyDescent="0.2">
      <c r="A48" s="45" t="s">
        <v>97</v>
      </c>
      <c r="B48" s="45" t="s">
        <v>7</v>
      </c>
      <c r="C48" s="45" t="s">
        <v>111</v>
      </c>
      <c r="D48" s="45" t="s">
        <v>5</v>
      </c>
      <c r="E48" s="45" t="s">
        <v>112</v>
      </c>
      <c r="F48" s="45">
        <v>2014</v>
      </c>
      <c r="G48" s="52">
        <v>30477</v>
      </c>
      <c r="H48" s="45" t="s">
        <v>113</v>
      </c>
    </row>
    <row r="49" spans="1:8" x14ac:dyDescent="0.2">
      <c r="A49" s="45" t="s">
        <v>97</v>
      </c>
      <c r="B49" s="45" t="s">
        <v>7</v>
      </c>
      <c r="C49" s="45" t="s">
        <v>111</v>
      </c>
      <c r="D49" s="45" t="s">
        <v>6</v>
      </c>
      <c r="E49" s="45" t="s">
        <v>112</v>
      </c>
      <c r="F49" s="45">
        <v>2014</v>
      </c>
      <c r="G49" s="52">
        <v>5153</v>
      </c>
      <c r="H49" s="45" t="s">
        <v>113</v>
      </c>
    </row>
    <row r="50" spans="1:8" x14ac:dyDescent="0.2">
      <c r="A50" s="45" t="s">
        <v>98</v>
      </c>
      <c r="B50" s="45" t="s">
        <v>7</v>
      </c>
      <c r="C50" s="45" t="s">
        <v>111</v>
      </c>
      <c r="D50" s="45" t="s">
        <v>5</v>
      </c>
      <c r="E50" s="45" t="s">
        <v>112</v>
      </c>
      <c r="F50" s="45">
        <v>2014</v>
      </c>
      <c r="G50" s="52">
        <v>10850</v>
      </c>
      <c r="H50" s="45" t="s">
        <v>121</v>
      </c>
    </row>
    <row r="51" spans="1:8" x14ac:dyDescent="0.2">
      <c r="A51" s="45" t="s">
        <v>98</v>
      </c>
      <c r="B51" s="45" t="s">
        <v>7</v>
      </c>
      <c r="C51" s="45" t="s">
        <v>111</v>
      </c>
      <c r="D51" s="45" t="s">
        <v>6</v>
      </c>
      <c r="E51" s="45" t="s">
        <v>112</v>
      </c>
      <c r="F51" s="45">
        <v>2014</v>
      </c>
      <c r="G51" s="52">
        <v>3522</v>
      </c>
      <c r="H51" s="45" t="s">
        <v>121</v>
      </c>
    </row>
    <row r="52" spans="1:8" x14ac:dyDescent="0.2">
      <c r="A52" s="45" t="s">
        <v>99</v>
      </c>
      <c r="B52" s="45" t="s">
        <v>13</v>
      </c>
      <c r="C52" s="45" t="s">
        <v>111</v>
      </c>
      <c r="D52" s="45" t="s">
        <v>5</v>
      </c>
      <c r="E52" s="45" t="s">
        <v>112</v>
      </c>
      <c r="F52" s="45">
        <v>2014</v>
      </c>
      <c r="G52" s="52">
        <v>83875</v>
      </c>
      <c r="H52" s="45" t="s">
        <v>121</v>
      </c>
    </row>
    <row r="53" spans="1:8" x14ac:dyDescent="0.2">
      <c r="A53" s="45" t="s">
        <v>99</v>
      </c>
      <c r="B53" s="45" t="s">
        <v>13</v>
      </c>
      <c r="C53" s="45" t="s">
        <v>111</v>
      </c>
      <c r="D53" s="45" t="s">
        <v>6</v>
      </c>
      <c r="E53" s="45" t="s">
        <v>112</v>
      </c>
      <c r="F53" s="45">
        <v>2014</v>
      </c>
      <c r="G53" s="52">
        <v>21763</v>
      </c>
      <c r="H53" s="45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D503-8B79-0C4C-96F5-26ADCA813A04}">
  <dimension ref="A1:G17"/>
  <sheetViews>
    <sheetView tabSelected="1" workbookViewId="0">
      <selection activeCell="C17" sqref="C17"/>
    </sheetView>
  </sheetViews>
  <sheetFormatPr baseColWidth="10" defaultRowHeight="16" x14ac:dyDescent="0.2"/>
  <sheetData>
    <row r="1" spans="1:7" x14ac:dyDescent="0.2">
      <c r="A1" s="30"/>
      <c r="B1" s="33" t="s">
        <v>162</v>
      </c>
      <c r="C1" s="34" t="s">
        <v>163</v>
      </c>
      <c r="D1" s="31"/>
      <c r="E1" s="31"/>
      <c r="F1" s="31"/>
      <c r="G1" s="31"/>
    </row>
    <row r="2" spans="1:7" x14ac:dyDescent="0.2">
      <c r="A2" s="29" t="s">
        <v>164</v>
      </c>
      <c r="B2" s="35">
        <v>9.8352885086825665</v>
      </c>
      <c r="C2" s="35">
        <v>12.252614425543658</v>
      </c>
      <c r="D2" s="29"/>
      <c r="E2" s="29"/>
      <c r="F2" s="29"/>
      <c r="G2" s="29"/>
    </row>
    <row r="3" spans="1:7" x14ac:dyDescent="0.2">
      <c r="A3" s="29" t="s">
        <v>165</v>
      </c>
      <c r="B3" s="35">
        <v>11.289541741752842</v>
      </c>
      <c r="C3" s="35">
        <v>4.2313299912438236</v>
      </c>
      <c r="D3" s="36">
        <v>22.087902934226225</v>
      </c>
      <c r="E3" s="32"/>
      <c r="F3" s="37"/>
      <c r="G3" s="35"/>
    </row>
    <row r="4" spans="1:7" x14ac:dyDescent="0.2">
      <c r="A4" s="29" t="s">
        <v>166</v>
      </c>
      <c r="B4" s="35">
        <v>3.9257597116241572</v>
      </c>
      <c r="C4" s="35">
        <v>10.177649445474927</v>
      </c>
      <c r="D4" s="36">
        <v>15.520871732996666</v>
      </c>
      <c r="E4" s="32"/>
      <c r="F4" s="37"/>
      <c r="G4" s="35"/>
    </row>
    <row r="5" spans="1:7" x14ac:dyDescent="0.2">
      <c r="A5" s="29" t="s">
        <v>167</v>
      </c>
      <c r="B5" s="35">
        <v>4.0309641404553824</v>
      </c>
      <c r="C5" s="35">
        <v>7.5049177313162021</v>
      </c>
      <c r="D5" s="36">
        <v>14.103409157099083</v>
      </c>
      <c r="E5" s="32"/>
      <c r="F5" s="37"/>
      <c r="G5" s="35"/>
    </row>
    <row r="6" spans="1:7" x14ac:dyDescent="0.2">
      <c r="A6" s="29" t="s">
        <v>168</v>
      </c>
      <c r="B6" s="35">
        <v>3.3671483471755135</v>
      </c>
      <c r="C6" s="35">
        <v>6.3534207138589514</v>
      </c>
      <c r="D6" s="36">
        <v>11.535881871771585</v>
      </c>
      <c r="E6" s="32"/>
      <c r="F6" s="37"/>
      <c r="G6" s="35"/>
    </row>
    <row r="7" spans="1:7" x14ac:dyDescent="0.2">
      <c r="A7" s="29" t="s">
        <v>169</v>
      </c>
      <c r="B7" s="38">
        <v>1.5499988120268715</v>
      </c>
      <c r="C7" s="35">
        <v>5.8883868071961176</v>
      </c>
      <c r="D7" s="36">
        <v>9.7205690610344639</v>
      </c>
      <c r="E7" s="32"/>
      <c r="F7" s="37"/>
      <c r="G7" s="35"/>
    </row>
    <row r="8" spans="1:7" x14ac:dyDescent="0.2">
      <c r="A8" s="29" t="s">
        <v>170</v>
      </c>
      <c r="B8" s="35">
        <v>3.3476352566384247</v>
      </c>
      <c r="C8" s="35">
        <v>3.5386602123309587</v>
      </c>
      <c r="D8" s="36">
        <v>7.4383856192229896</v>
      </c>
      <c r="E8" s="32"/>
      <c r="F8" s="37"/>
      <c r="G8" s="35"/>
    </row>
    <row r="9" spans="1:7" x14ac:dyDescent="0.2">
      <c r="A9" s="29" t="s">
        <v>171</v>
      </c>
      <c r="B9" s="35">
        <v>4.1846255157642913</v>
      </c>
      <c r="C9" s="35">
        <v>1.0567231612015502</v>
      </c>
      <c r="D9" s="36">
        <v>6.8862954689693829</v>
      </c>
      <c r="E9" s="32"/>
      <c r="F9" s="37"/>
      <c r="G9" s="35"/>
    </row>
    <row r="10" spans="1:7" x14ac:dyDescent="0.2">
      <c r="A10" s="29" t="s">
        <v>172</v>
      </c>
      <c r="B10" s="35">
        <v>2.5924775294742313</v>
      </c>
      <c r="C10" s="35">
        <v>2.3567477126462069</v>
      </c>
      <c r="D10" s="36">
        <v>5.2413486769658419</v>
      </c>
      <c r="E10" s="32"/>
      <c r="F10" s="37"/>
      <c r="G10" s="35"/>
    </row>
    <row r="11" spans="1:7" x14ac:dyDescent="0.2">
      <c r="A11" s="29" t="s">
        <v>173</v>
      </c>
      <c r="B11" s="35">
        <v>0.95604033222131934</v>
      </c>
      <c r="C11" s="35">
        <v>0.99873996211854199</v>
      </c>
      <c r="D11" s="36">
        <v>4.9492252421204377</v>
      </c>
      <c r="E11" s="32"/>
      <c r="F11" s="37"/>
      <c r="G11" s="35"/>
    </row>
    <row r="12" spans="1:7" x14ac:dyDescent="0.2">
      <c r="A12" s="29" t="s">
        <v>174</v>
      </c>
      <c r="B12" s="32">
        <v>0.28621446212087298</v>
      </c>
      <c r="C12" s="32">
        <v>0.26856056357220542</v>
      </c>
      <c r="D12" s="36">
        <v>1.9547802943398613</v>
      </c>
      <c r="E12" s="32"/>
      <c r="F12" s="37"/>
      <c r="G12" s="35"/>
    </row>
    <row r="13" spans="1:7" x14ac:dyDescent="0.2">
      <c r="A13" s="29" t="s">
        <v>175</v>
      </c>
      <c r="B13" s="35">
        <v>2.58938823765057E-3</v>
      </c>
      <c r="C13" s="35">
        <v>3.959910428511175E-3</v>
      </c>
      <c r="D13" s="36">
        <v>0.55477502569307835</v>
      </c>
      <c r="E13" s="32"/>
      <c r="F13" s="37"/>
      <c r="G13" s="35"/>
    </row>
    <row r="14" spans="1:7" x14ac:dyDescent="0.2">
      <c r="A14" s="29"/>
      <c r="B14" s="32"/>
      <c r="C14" s="32"/>
      <c r="D14" s="36">
        <v>6.549298666161745E-3</v>
      </c>
      <c r="E14" s="32"/>
      <c r="F14" s="37"/>
      <c r="G14" s="35"/>
    </row>
    <row r="15" spans="1:7" x14ac:dyDescent="0.2">
      <c r="A15" s="29"/>
      <c r="B15" s="29"/>
      <c r="C15" s="39"/>
      <c r="D15" s="32"/>
      <c r="E15" s="29"/>
      <c r="F15" s="29"/>
      <c r="G15" s="29"/>
    </row>
    <row r="16" spans="1:7" x14ac:dyDescent="0.2">
      <c r="A16" s="40" t="s">
        <v>176</v>
      </c>
      <c r="B16" s="29"/>
      <c r="C16" s="29"/>
      <c r="D16" s="29"/>
      <c r="E16" s="29"/>
      <c r="F16" s="29"/>
      <c r="G16" s="29"/>
    </row>
    <row r="17" spans="1:7" x14ac:dyDescent="0.2">
      <c r="A17" s="29" t="s">
        <v>240</v>
      </c>
      <c r="D17" s="29"/>
      <c r="E17" s="29"/>
      <c r="F17" s="29"/>
      <c r="G17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AE1E-65F6-2F40-A22C-864DB4676AA7}">
  <dimension ref="A1:AD59"/>
  <sheetViews>
    <sheetView topLeftCell="A8" workbookViewId="0">
      <selection activeCell="I32" sqref="I32"/>
    </sheetView>
  </sheetViews>
  <sheetFormatPr baseColWidth="10" defaultRowHeight="16" x14ac:dyDescent="0.2"/>
  <sheetData>
    <row r="1" spans="1:28" x14ac:dyDescent="0.2">
      <c r="A1" t="s">
        <v>181</v>
      </c>
      <c r="B1" s="54" t="s">
        <v>182</v>
      </c>
      <c r="C1" t="s">
        <v>183</v>
      </c>
      <c r="D1" s="54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V1" s="54"/>
      <c r="AA1" s="58"/>
      <c r="AB1" s="58"/>
    </row>
    <row r="2" spans="1:28" x14ac:dyDescent="0.2">
      <c r="A2" t="s">
        <v>194</v>
      </c>
      <c r="B2" s="54" t="s">
        <v>195</v>
      </c>
      <c r="C2" t="s">
        <v>65</v>
      </c>
      <c r="D2" s="54" t="s">
        <v>196</v>
      </c>
      <c r="E2">
        <v>5.6455799999999998</v>
      </c>
      <c r="F2">
        <v>8.7486700000000006</v>
      </c>
      <c r="G2">
        <v>8.0281000000000002</v>
      </c>
      <c r="H2">
        <v>8.0589700000000004</v>
      </c>
      <c r="I2">
        <v>6.7976599999999996</v>
      </c>
      <c r="J2">
        <v>7.3446300000000004</v>
      </c>
      <c r="K2">
        <v>7.8112300000000001</v>
      </c>
      <c r="L2">
        <v>5.6307499999999999</v>
      </c>
      <c r="M2" s="18">
        <v>9.8788400000000003</v>
      </c>
      <c r="U2" t="s">
        <v>183</v>
      </c>
      <c r="V2" s="54" t="s">
        <v>184</v>
      </c>
      <c r="W2" t="s">
        <v>193</v>
      </c>
      <c r="AA2" s="58"/>
      <c r="AB2" s="58"/>
    </row>
    <row r="3" spans="1:28" x14ac:dyDescent="0.2">
      <c r="A3" t="s">
        <v>194</v>
      </c>
      <c r="B3" s="54" t="s">
        <v>195</v>
      </c>
      <c r="C3" t="s">
        <v>66</v>
      </c>
      <c r="D3" s="54" t="s">
        <v>197</v>
      </c>
      <c r="E3">
        <v>45.004339999999999</v>
      </c>
      <c r="F3">
        <v>40.669519999999999</v>
      </c>
      <c r="G3">
        <v>39.727800000000002</v>
      </c>
      <c r="H3">
        <v>39.0411</v>
      </c>
      <c r="I3">
        <v>41.350209999999997</v>
      </c>
      <c r="J3">
        <v>37.907380000000003</v>
      </c>
      <c r="K3">
        <v>39.039349999999999</v>
      </c>
      <c r="L3">
        <v>40.04616</v>
      </c>
      <c r="M3" s="18">
        <v>38.740009999999998</v>
      </c>
      <c r="U3" t="s">
        <v>65</v>
      </c>
      <c r="V3" s="54" t="s">
        <v>196</v>
      </c>
      <c r="W3" s="18">
        <v>9.8788400000000003</v>
      </c>
      <c r="AA3" s="58"/>
      <c r="AB3" s="58"/>
    </row>
    <row r="4" spans="1:28" x14ac:dyDescent="0.2">
      <c r="A4" t="s">
        <v>194</v>
      </c>
      <c r="B4" s="54" t="s">
        <v>195</v>
      </c>
      <c r="C4" t="s">
        <v>80</v>
      </c>
      <c r="D4" s="54" t="s">
        <v>198</v>
      </c>
      <c r="E4">
        <v>15.818759999999999</v>
      </c>
      <c r="F4">
        <v>16.73152</v>
      </c>
      <c r="G4" t="s">
        <v>224</v>
      </c>
      <c r="H4">
        <v>15.445539999999999</v>
      </c>
      <c r="I4" t="s">
        <v>224</v>
      </c>
      <c r="J4">
        <v>19.86063</v>
      </c>
      <c r="K4">
        <v>18.336739999999999</v>
      </c>
      <c r="L4">
        <v>21.259350000000001</v>
      </c>
      <c r="M4" s="18">
        <v>21.002130000000001</v>
      </c>
      <c r="U4" t="s">
        <v>66</v>
      </c>
      <c r="V4" s="54" t="s">
        <v>197</v>
      </c>
      <c r="W4" s="18">
        <v>38.740009999999998</v>
      </c>
      <c r="AA4" s="58"/>
      <c r="AB4" s="58"/>
    </row>
    <row r="5" spans="1:28" x14ac:dyDescent="0.2">
      <c r="A5" t="s">
        <v>194</v>
      </c>
      <c r="B5" s="54" t="s">
        <v>195</v>
      </c>
      <c r="C5" t="s">
        <v>70</v>
      </c>
      <c r="D5" s="54" t="s">
        <v>199</v>
      </c>
      <c r="E5">
        <v>30.84112</v>
      </c>
      <c r="F5">
        <v>37.142859999999999</v>
      </c>
      <c r="G5">
        <v>20.180720000000001</v>
      </c>
      <c r="H5">
        <v>23.63636</v>
      </c>
      <c r="I5">
        <v>30.522089999999999</v>
      </c>
      <c r="J5">
        <v>35.897440000000003</v>
      </c>
      <c r="K5">
        <v>35.416670000000003</v>
      </c>
      <c r="L5">
        <v>30.653269999999999</v>
      </c>
      <c r="M5" s="18">
        <v>28.458500000000001</v>
      </c>
      <c r="U5" t="s">
        <v>80</v>
      </c>
      <c r="V5" s="54" t="s">
        <v>198</v>
      </c>
      <c r="W5" s="18">
        <v>21.002130000000001</v>
      </c>
      <c r="AA5" s="58"/>
      <c r="AB5" s="58"/>
    </row>
    <row r="6" spans="1:28" x14ac:dyDescent="0.2">
      <c r="A6" t="s">
        <v>194</v>
      </c>
      <c r="B6" s="54" t="s">
        <v>195</v>
      </c>
      <c r="C6" t="s">
        <v>71</v>
      </c>
      <c r="D6" s="54" t="s">
        <v>200</v>
      </c>
      <c r="E6">
        <v>15.060689999999999</v>
      </c>
      <c r="F6">
        <v>13.6896</v>
      </c>
      <c r="G6">
        <v>13.626580000000001</v>
      </c>
      <c r="H6">
        <v>14.204420000000001</v>
      </c>
      <c r="I6">
        <v>14.279669999999999</v>
      </c>
      <c r="J6">
        <v>16.23874</v>
      </c>
      <c r="K6">
        <v>13.48753</v>
      </c>
      <c r="L6">
        <v>15.26864</v>
      </c>
      <c r="M6" s="18">
        <v>15.56509</v>
      </c>
      <c r="U6" t="s">
        <v>70</v>
      </c>
      <c r="V6" s="54" t="s">
        <v>199</v>
      </c>
      <c r="W6" s="18">
        <v>28.458500000000001</v>
      </c>
      <c r="AA6" s="58"/>
      <c r="AB6" s="58"/>
    </row>
    <row r="7" spans="1:28" x14ac:dyDescent="0.2">
      <c r="A7" t="s">
        <v>194</v>
      </c>
      <c r="B7" s="54" t="s">
        <v>195</v>
      </c>
      <c r="C7" t="s">
        <v>73</v>
      </c>
      <c r="D7" s="54" t="s">
        <v>201</v>
      </c>
      <c r="E7">
        <v>19.823789999999999</v>
      </c>
      <c r="F7">
        <v>19.498609999999999</v>
      </c>
      <c r="G7">
        <v>23.4132</v>
      </c>
      <c r="H7">
        <v>24.374279999999999</v>
      </c>
      <c r="I7">
        <v>21.711680000000001</v>
      </c>
      <c r="J7">
        <v>23.019480000000001</v>
      </c>
      <c r="K7">
        <v>19.74738</v>
      </c>
      <c r="L7">
        <v>21.293659999999999</v>
      </c>
      <c r="M7" s="18">
        <v>24.00102</v>
      </c>
      <c r="U7" t="s">
        <v>71</v>
      </c>
      <c r="V7" s="54" t="s">
        <v>200</v>
      </c>
      <c r="W7" s="18">
        <v>15.56509</v>
      </c>
      <c r="AA7" s="58"/>
      <c r="AB7" s="58"/>
    </row>
    <row r="8" spans="1:28" x14ac:dyDescent="0.2">
      <c r="A8" t="s">
        <v>194</v>
      </c>
      <c r="B8" s="54" t="s">
        <v>195</v>
      </c>
      <c r="C8" t="s">
        <v>75</v>
      </c>
      <c r="D8" s="54" t="s">
        <v>202</v>
      </c>
      <c r="E8">
        <v>24.554459999999999</v>
      </c>
      <c r="F8">
        <v>25.899280000000001</v>
      </c>
      <c r="G8">
        <v>25.609760000000001</v>
      </c>
      <c r="H8">
        <v>20.35398</v>
      </c>
      <c r="I8">
        <v>23.776219999999999</v>
      </c>
      <c r="J8">
        <v>27.735849999999999</v>
      </c>
      <c r="K8">
        <v>29.84496</v>
      </c>
      <c r="L8">
        <v>26.993870000000001</v>
      </c>
      <c r="M8" s="18">
        <v>28.892009999999999</v>
      </c>
      <c r="U8" t="s">
        <v>73</v>
      </c>
      <c r="V8" s="54" t="s">
        <v>201</v>
      </c>
      <c r="W8" s="18">
        <v>24.00102</v>
      </c>
      <c r="AA8" s="58"/>
      <c r="AB8" s="58"/>
    </row>
    <row r="9" spans="1:28" x14ac:dyDescent="0.2">
      <c r="A9" t="s">
        <v>194</v>
      </c>
      <c r="B9" s="54" t="s">
        <v>195</v>
      </c>
      <c r="C9" t="s">
        <v>76</v>
      </c>
      <c r="D9" s="54" t="s">
        <v>203</v>
      </c>
      <c r="E9">
        <v>26.973680000000002</v>
      </c>
      <c r="F9">
        <v>28.399519999999999</v>
      </c>
      <c r="G9">
        <v>27.453340000000001</v>
      </c>
      <c r="H9">
        <v>23.851479999999999</v>
      </c>
      <c r="I9">
        <v>23.6892</v>
      </c>
      <c r="J9">
        <v>26.394480000000001</v>
      </c>
      <c r="K9">
        <v>19.318180000000002</v>
      </c>
      <c r="L9">
        <v>20.641739999999999</v>
      </c>
      <c r="M9" s="18">
        <v>20.746179999999999</v>
      </c>
      <c r="U9" t="s">
        <v>75</v>
      </c>
      <c r="V9" s="54" t="s">
        <v>202</v>
      </c>
      <c r="W9" s="18">
        <v>28.892009999999999</v>
      </c>
      <c r="AA9" s="58"/>
      <c r="AB9" s="58"/>
    </row>
    <row r="10" spans="1:28" x14ac:dyDescent="0.2">
      <c r="A10" t="s">
        <v>194</v>
      </c>
      <c r="B10" s="54" t="s">
        <v>195</v>
      </c>
      <c r="C10" t="s">
        <v>77</v>
      </c>
      <c r="D10" s="54" t="s">
        <v>204</v>
      </c>
      <c r="E10">
        <v>14.62936</v>
      </c>
      <c r="F10" s="54" t="s">
        <v>224</v>
      </c>
      <c r="G10" t="s">
        <v>224</v>
      </c>
      <c r="H10">
        <v>16.136410000000001</v>
      </c>
      <c r="I10">
        <v>17.93629</v>
      </c>
      <c r="J10">
        <v>16.694389999999999</v>
      </c>
      <c r="K10">
        <v>16.721710000000002</v>
      </c>
      <c r="L10" s="18">
        <v>16.45824</v>
      </c>
      <c r="M10" t="s">
        <v>224</v>
      </c>
      <c r="U10" t="s">
        <v>76</v>
      </c>
      <c r="V10" s="54" t="s">
        <v>203</v>
      </c>
      <c r="W10" s="18">
        <v>20.746179999999999</v>
      </c>
      <c r="AA10" s="58"/>
      <c r="AB10" s="58"/>
    </row>
    <row r="11" spans="1:28" x14ac:dyDescent="0.2">
      <c r="A11" t="s">
        <v>194</v>
      </c>
      <c r="B11" s="54" t="s">
        <v>195</v>
      </c>
      <c r="C11" t="s">
        <v>72</v>
      </c>
      <c r="D11" s="54" t="s">
        <v>205</v>
      </c>
      <c r="E11" t="s">
        <v>224</v>
      </c>
      <c r="F11" s="54" t="s">
        <v>224</v>
      </c>
      <c r="G11" t="s">
        <v>224</v>
      </c>
      <c r="H11" s="54" t="s">
        <v>224</v>
      </c>
      <c r="I11" t="s">
        <v>224</v>
      </c>
      <c r="J11" t="s">
        <v>224</v>
      </c>
      <c r="K11">
        <v>17.636839999999999</v>
      </c>
      <c r="L11">
        <v>18.14132</v>
      </c>
      <c r="M11" s="18">
        <v>19.408180000000002</v>
      </c>
      <c r="U11" t="s">
        <v>77</v>
      </c>
      <c r="V11" s="54" t="s">
        <v>204</v>
      </c>
      <c r="W11" s="18">
        <v>16.45824</v>
      </c>
      <c r="AA11" s="58"/>
    </row>
    <row r="12" spans="1:28" x14ac:dyDescent="0.2">
      <c r="A12" t="s">
        <v>194</v>
      </c>
      <c r="B12" s="54" t="s">
        <v>195</v>
      </c>
      <c r="C12" t="s">
        <v>79</v>
      </c>
      <c r="D12" s="54" t="s">
        <v>206</v>
      </c>
      <c r="E12" t="s">
        <v>224</v>
      </c>
      <c r="F12">
        <v>39.951790000000003</v>
      </c>
      <c r="G12">
        <v>37.858510000000003</v>
      </c>
      <c r="H12">
        <v>37.208620000000003</v>
      </c>
      <c r="I12">
        <v>36.00741</v>
      </c>
      <c r="J12">
        <v>35.37415</v>
      </c>
      <c r="K12" t="s">
        <v>224</v>
      </c>
      <c r="L12">
        <v>38.760739999999998</v>
      </c>
      <c r="M12" s="18">
        <v>35.685690000000001</v>
      </c>
      <c r="U12" t="s">
        <v>72</v>
      </c>
      <c r="V12" s="54" t="s">
        <v>205</v>
      </c>
      <c r="W12" s="18">
        <v>19.408180000000002</v>
      </c>
      <c r="AA12" s="58"/>
    </row>
    <row r="13" spans="1:28" x14ac:dyDescent="0.2">
      <c r="A13" t="s">
        <v>194</v>
      </c>
      <c r="B13" s="54" t="s">
        <v>195</v>
      </c>
      <c r="C13" t="s">
        <v>81</v>
      </c>
      <c r="D13" s="54" t="s">
        <v>207</v>
      </c>
      <c r="E13">
        <v>19.315719999999999</v>
      </c>
      <c r="F13">
        <v>18.019200000000001</v>
      </c>
      <c r="G13">
        <v>15.370279999999999</v>
      </c>
      <c r="H13">
        <v>16.79467</v>
      </c>
      <c r="I13">
        <v>17.08333</v>
      </c>
      <c r="J13">
        <v>17.763750000000002</v>
      </c>
      <c r="K13">
        <v>23.33333</v>
      </c>
      <c r="L13">
        <v>18.81793</v>
      </c>
      <c r="M13" s="18">
        <v>16.70346</v>
      </c>
      <c r="U13" t="s">
        <v>79</v>
      </c>
      <c r="V13" s="54" t="s">
        <v>206</v>
      </c>
      <c r="W13" s="18">
        <v>35.685690000000001</v>
      </c>
      <c r="AA13" s="58"/>
      <c r="AB13" s="58"/>
    </row>
    <row r="14" spans="1:28" x14ac:dyDescent="0.2">
      <c r="A14" t="s">
        <v>194</v>
      </c>
      <c r="B14" s="54" t="s">
        <v>195</v>
      </c>
      <c r="C14" t="s">
        <v>82</v>
      </c>
      <c r="D14" s="54" t="s">
        <v>208</v>
      </c>
      <c r="E14">
        <v>24.728259999999999</v>
      </c>
      <c r="F14">
        <v>22.26436</v>
      </c>
      <c r="G14" t="s">
        <v>224</v>
      </c>
      <c r="H14">
        <v>40.537509999999997</v>
      </c>
      <c r="I14">
        <v>19.939679999999999</v>
      </c>
      <c r="J14">
        <v>19.576270000000001</v>
      </c>
      <c r="K14">
        <v>20.275549999999999</v>
      </c>
      <c r="L14" s="18">
        <v>20.85069</v>
      </c>
      <c r="M14" t="s">
        <v>224</v>
      </c>
      <c r="U14" t="s">
        <v>81</v>
      </c>
      <c r="V14" s="54" t="s">
        <v>207</v>
      </c>
      <c r="W14" s="18">
        <v>16.70346</v>
      </c>
      <c r="AA14" s="58"/>
      <c r="AB14" s="58"/>
    </row>
    <row r="15" spans="1:28" x14ac:dyDescent="0.2">
      <c r="A15" t="s">
        <v>194</v>
      </c>
      <c r="B15" s="54" t="s">
        <v>195</v>
      </c>
      <c r="C15" t="s">
        <v>84</v>
      </c>
      <c r="D15" s="54" t="s">
        <v>209</v>
      </c>
      <c r="E15" t="s">
        <v>224</v>
      </c>
      <c r="F15" t="s">
        <v>224</v>
      </c>
      <c r="G15">
        <v>23.46772</v>
      </c>
      <c r="H15">
        <v>25.45636</v>
      </c>
      <c r="I15">
        <v>16.66667</v>
      </c>
      <c r="J15">
        <v>16.26418</v>
      </c>
      <c r="K15">
        <v>19.596540000000001</v>
      </c>
      <c r="L15" s="18">
        <v>16.120509999999999</v>
      </c>
      <c r="M15" t="s">
        <v>224</v>
      </c>
      <c r="U15" t="s">
        <v>82</v>
      </c>
      <c r="V15" s="54" t="s">
        <v>208</v>
      </c>
      <c r="W15" s="18">
        <v>20.85069</v>
      </c>
      <c r="AA15" s="58"/>
    </row>
    <row r="16" spans="1:28" x14ac:dyDescent="0.2">
      <c r="A16" t="s">
        <v>194</v>
      </c>
      <c r="B16" s="54" t="s">
        <v>195</v>
      </c>
      <c r="C16" t="s">
        <v>88</v>
      </c>
      <c r="D16" s="54" t="s">
        <v>210</v>
      </c>
      <c r="E16">
        <v>21.113990000000001</v>
      </c>
      <c r="F16">
        <v>19.534279999999999</v>
      </c>
      <c r="G16">
        <v>21.241050000000001</v>
      </c>
      <c r="H16">
        <v>21.046230000000001</v>
      </c>
      <c r="I16">
        <v>23.20513</v>
      </c>
      <c r="J16">
        <v>22.27074</v>
      </c>
      <c r="K16">
        <v>20.611699999999999</v>
      </c>
      <c r="L16">
        <v>23.68421</v>
      </c>
      <c r="M16" s="18">
        <v>22.683260000000001</v>
      </c>
      <c r="U16" t="s">
        <v>84</v>
      </c>
      <c r="V16" s="54" t="s">
        <v>209</v>
      </c>
      <c r="W16" s="18">
        <v>16.120509999999999</v>
      </c>
      <c r="AA16" s="58"/>
      <c r="AB16" s="58"/>
    </row>
    <row r="17" spans="1:28" x14ac:dyDescent="0.2">
      <c r="A17" t="s">
        <v>194</v>
      </c>
      <c r="B17" s="54" t="s">
        <v>195</v>
      </c>
      <c r="C17" t="s">
        <v>86</v>
      </c>
      <c r="D17" s="54" t="s">
        <v>211</v>
      </c>
      <c r="E17">
        <v>17.171720000000001</v>
      </c>
      <c r="F17">
        <v>17.279730000000001</v>
      </c>
      <c r="G17">
        <v>17.35379</v>
      </c>
      <c r="H17">
        <v>17.264150000000001</v>
      </c>
      <c r="I17">
        <v>15.87678</v>
      </c>
      <c r="J17">
        <v>16.189109999999999</v>
      </c>
      <c r="K17">
        <v>13.79898</v>
      </c>
      <c r="L17">
        <v>11.64725</v>
      </c>
      <c r="M17" s="18">
        <v>16.842110000000002</v>
      </c>
      <c r="U17" t="s">
        <v>88</v>
      </c>
      <c r="V17" s="54" t="s">
        <v>210</v>
      </c>
      <c r="W17" s="18">
        <v>22.683260000000001</v>
      </c>
      <c r="AA17" s="58"/>
      <c r="AB17" s="58"/>
    </row>
    <row r="18" spans="1:28" x14ac:dyDescent="0.2">
      <c r="A18" t="s">
        <v>194</v>
      </c>
      <c r="B18" s="54" t="s">
        <v>195</v>
      </c>
      <c r="C18" t="s">
        <v>90</v>
      </c>
      <c r="D18" s="54" t="s">
        <v>212</v>
      </c>
      <c r="E18">
        <v>23.270440000000001</v>
      </c>
      <c r="F18">
        <v>19.879519999999999</v>
      </c>
      <c r="G18">
        <v>25.34722</v>
      </c>
      <c r="H18" t="s">
        <v>224</v>
      </c>
      <c r="I18">
        <v>13.99417</v>
      </c>
      <c r="J18">
        <v>17.866669999999999</v>
      </c>
      <c r="K18">
        <v>18.208960000000001</v>
      </c>
      <c r="L18">
        <v>16.44444</v>
      </c>
      <c r="M18" s="18">
        <v>15.977959999999999</v>
      </c>
      <c r="U18" t="s">
        <v>86</v>
      </c>
      <c r="V18" s="54" t="s">
        <v>211</v>
      </c>
      <c r="W18" s="18">
        <v>16.842110000000002</v>
      </c>
      <c r="AA18" s="58"/>
      <c r="AB18" s="58"/>
    </row>
    <row r="19" spans="1:28" x14ac:dyDescent="0.2">
      <c r="A19" t="s">
        <v>194</v>
      </c>
      <c r="B19" s="54" t="s">
        <v>195</v>
      </c>
      <c r="C19" t="s">
        <v>91</v>
      </c>
      <c r="D19" s="54" t="s">
        <v>213</v>
      </c>
      <c r="E19" t="s">
        <v>224</v>
      </c>
      <c r="F19">
        <v>10.92259</v>
      </c>
      <c r="G19" t="s">
        <v>224</v>
      </c>
      <c r="H19" t="s">
        <v>224</v>
      </c>
      <c r="I19">
        <v>15.40704</v>
      </c>
      <c r="J19">
        <v>16.572120000000002</v>
      </c>
      <c r="K19" t="s">
        <v>224</v>
      </c>
      <c r="L19" t="s">
        <v>224</v>
      </c>
      <c r="M19" s="18">
        <v>14.472670000000001</v>
      </c>
      <c r="U19" t="s">
        <v>90</v>
      </c>
      <c r="V19" s="54" t="s">
        <v>212</v>
      </c>
      <c r="W19" s="18">
        <v>15.977959999999999</v>
      </c>
      <c r="AA19" s="58"/>
    </row>
    <row r="20" spans="1:28" x14ac:dyDescent="0.2">
      <c r="A20" t="s">
        <v>194</v>
      </c>
      <c r="B20" s="54" t="s">
        <v>195</v>
      </c>
      <c r="C20" t="s">
        <v>93</v>
      </c>
      <c r="D20" s="54" t="s">
        <v>214</v>
      </c>
      <c r="E20" t="s">
        <v>224</v>
      </c>
      <c r="F20">
        <v>15.98846</v>
      </c>
      <c r="G20">
        <v>15.553800000000001</v>
      </c>
      <c r="H20">
        <v>16.813590000000001</v>
      </c>
      <c r="I20">
        <v>17.962009999999999</v>
      </c>
      <c r="J20">
        <v>17.382210000000001</v>
      </c>
      <c r="K20">
        <v>19.42962</v>
      </c>
      <c r="L20">
        <v>17.89799</v>
      </c>
      <c r="M20" s="18">
        <v>21.178599999999999</v>
      </c>
      <c r="U20" t="s">
        <v>91</v>
      </c>
      <c r="V20" s="54" t="s">
        <v>213</v>
      </c>
      <c r="W20" s="18">
        <v>14.472670000000001</v>
      </c>
      <c r="AA20" s="58"/>
    </row>
    <row r="21" spans="1:28" x14ac:dyDescent="0.2">
      <c r="A21" t="s">
        <v>194</v>
      </c>
      <c r="B21" s="54" t="s">
        <v>195</v>
      </c>
      <c r="C21" t="s">
        <v>94</v>
      </c>
      <c r="D21" s="54" t="s">
        <v>215</v>
      </c>
      <c r="E21">
        <v>16.087890000000002</v>
      </c>
      <c r="F21">
        <v>23.676880000000001</v>
      </c>
      <c r="G21">
        <v>22.406639999999999</v>
      </c>
      <c r="H21">
        <v>22.351230000000001</v>
      </c>
      <c r="I21">
        <v>24.70149</v>
      </c>
      <c r="J21">
        <v>25</v>
      </c>
      <c r="K21">
        <v>20.997679999999999</v>
      </c>
      <c r="L21">
        <v>23.45391</v>
      </c>
      <c r="M21" s="18">
        <v>17.444220000000001</v>
      </c>
      <c r="U21" t="s">
        <v>93</v>
      </c>
      <c r="V21" s="54" t="s">
        <v>214</v>
      </c>
      <c r="W21" s="18">
        <v>21.178599999999999</v>
      </c>
      <c r="AA21" s="58"/>
      <c r="AB21" s="58"/>
    </row>
    <row r="22" spans="1:28" x14ac:dyDescent="0.2">
      <c r="A22" t="s">
        <v>194</v>
      </c>
      <c r="B22" s="54" t="s">
        <v>195</v>
      </c>
      <c r="C22" t="s">
        <v>95</v>
      </c>
      <c r="D22" s="54" t="s">
        <v>216</v>
      </c>
      <c r="E22">
        <v>23.655539999999998</v>
      </c>
      <c r="F22">
        <v>31.092040000000001</v>
      </c>
      <c r="G22">
        <v>29.38531</v>
      </c>
      <c r="H22" t="s">
        <v>224</v>
      </c>
      <c r="I22">
        <v>30.071290000000001</v>
      </c>
      <c r="J22">
        <v>33.058419999999998</v>
      </c>
      <c r="K22">
        <v>32.707920000000001</v>
      </c>
      <c r="L22" s="18">
        <v>33.19426</v>
      </c>
      <c r="M22" t="s">
        <v>224</v>
      </c>
      <c r="U22" t="s">
        <v>94</v>
      </c>
      <c r="V22" s="54" t="s">
        <v>215</v>
      </c>
      <c r="W22" s="18">
        <v>17.444220000000001</v>
      </c>
      <c r="AA22" s="58"/>
      <c r="AB22" s="58"/>
    </row>
    <row r="23" spans="1:28" x14ac:dyDescent="0.2">
      <c r="A23" t="s">
        <v>194</v>
      </c>
      <c r="B23" s="54" t="s">
        <v>195</v>
      </c>
      <c r="C23" t="s">
        <v>217</v>
      </c>
      <c r="D23" s="54" t="s">
        <v>218</v>
      </c>
      <c r="E23">
        <v>10.521459999999999</v>
      </c>
      <c r="F23">
        <v>11.71875</v>
      </c>
      <c r="G23">
        <v>11.99654</v>
      </c>
      <c r="H23">
        <v>12.858560000000001</v>
      </c>
      <c r="I23">
        <v>12.43154</v>
      </c>
      <c r="J23">
        <v>15.337109999999999</v>
      </c>
      <c r="K23">
        <v>12.38584</v>
      </c>
      <c r="L23" t="s">
        <v>224</v>
      </c>
      <c r="M23" s="18">
        <v>12.18214</v>
      </c>
      <c r="U23" t="s">
        <v>95</v>
      </c>
      <c r="V23" s="54" t="s">
        <v>216</v>
      </c>
      <c r="W23" s="18">
        <v>33.19426</v>
      </c>
      <c r="AA23" s="58"/>
      <c r="AB23" s="58"/>
    </row>
    <row r="24" spans="1:28" x14ac:dyDescent="0.2">
      <c r="A24" t="s">
        <v>194</v>
      </c>
      <c r="B24" s="54" t="s">
        <v>195</v>
      </c>
      <c r="C24" t="s">
        <v>98</v>
      </c>
      <c r="D24" s="54" t="s">
        <v>219</v>
      </c>
      <c r="E24">
        <v>7.90191</v>
      </c>
      <c r="F24">
        <v>10.15119</v>
      </c>
      <c r="G24">
        <v>7.7966100000000003</v>
      </c>
      <c r="H24">
        <v>13.28125</v>
      </c>
      <c r="I24">
        <v>11.95191</v>
      </c>
      <c r="J24">
        <v>14.48809</v>
      </c>
      <c r="K24">
        <v>16.846990000000002</v>
      </c>
      <c r="L24" t="s">
        <v>224</v>
      </c>
      <c r="M24" s="18">
        <v>14.08451</v>
      </c>
      <c r="U24" t="s">
        <v>217</v>
      </c>
      <c r="V24" s="54" t="s">
        <v>218</v>
      </c>
      <c r="W24" s="18">
        <v>12.18214</v>
      </c>
      <c r="AA24" s="58"/>
      <c r="AB24" s="58"/>
    </row>
    <row r="25" spans="1:28" x14ac:dyDescent="0.2">
      <c r="A25" t="s">
        <v>194</v>
      </c>
      <c r="B25" s="54" t="s">
        <v>195</v>
      </c>
      <c r="C25" t="s">
        <v>74</v>
      </c>
      <c r="D25" s="54" t="s">
        <v>220</v>
      </c>
      <c r="E25">
        <v>17.37595</v>
      </c>
      <c r="F25">
        <v>16.765989999999999</v>
      </c>
      <c r="G25">
        <v>17.406890000000001</v>
      </c>
      <c r="H25">
        <v>15.603579999999999</v>
      </c>
      <c r="I25">
        <v>15.203099999999999</v>
      </c>
      <c r="J25">
        <v>14.72218</v>
      </c>
      <c r="K25">
        <v>14.465260000000001</v>
      </c>
      <c r="L25">
        <v>14.02435</v>
      </c>
      <c r="M25" s="18">
        <v>12.97447</v>
      </c>
      <c r="U25" t="s">
        <v>98</v>
      </c>
      <c r="V25" s="54" t="s">
        <v>219</v>
      </c>
      <c r="W25" s="18">
        <v>14.08451</v>
      </c>
      <c r="AA25" s="58"/>
      <c r="AB25" s="58"/>
    </row>
    <row r="26" spans="1:28" x14ac:dyDescent="0.2">
      <c r="A26" t="s">
        <v>194</v>
      </c>
      <c r="B26" s="54" t="s">
        <v>195</v>
      </c>
      <c r="C26" t="s">
        <v>99</v>
      </c>
      <c r="D26" s="54" t="s">
        <v>221</v>
      </c>
      <c r="E26">
        <v>21.929819999999999</v>
      </c>
      <c r="F26">
        <v>18.804919999999999</v>
      </c>
      <c r="G26">
        <v>20.205629999999999</v>
      </c>
      <c r="H26">
        <v>26.064050000000002</v>
      </c>
      <c r="I26">
        <v>25.644120000000001</v>
      </c>
      <c r="J26" t="s">
        <v>224</v>
      </c>
      <c r="K26">
        <v>27.846270000000001</v>
      </c>
      <c r="L26">
        <v>28.174330000000001</v>
      </c>
      <c r="M26" s="18">
        <v>30.23847</v>
      </c>
      <c r="U26" t="s">
        <v>74</v>
      </c>
      <c r="V26" s="54" t="s">
        <v>220</v>
      </c>
      <c r="W26" s="18">
        <v>12.97447</v>
      </c>
      <c r="AA26" s="58"/>
      <c r="AB26" s="58"/>
    </row>
    <row r="27" spans="1:28" x14ac:dyDescent="0.2">
      <c r="B27" s="54"/>
      <c r="D27" s="54"/>
      <c r="U27" t="s">
        <v>99</v>
      </c>
      <c r="V27" s="54" t="s">
        <v>221</v>
      </c>
      <c r="W27" s="18">
        <v>30.23847</v>
      </c>
      <c r="AA27" s="58"/>
    </row>
    <row r="28" spans="1:28" x14ac:dyDescent="0.2">
      <c r="B28" s="54"/>
      <c r="D28" s="54"/>
    </row>
    <row r="29" spans="1:28" x14ac:dyDescent="0.2">
      <c r="B29" s="54"/>
      <c r="D29" s="54"/>
      <c r="U29" t="s">
        <v>148</v>
      </c>
      <c r="W29">
        <f>AVERAGE(W3:W27)</f>
        <v>20.951328800000002</v>
      </c>
    </row>
    <row r="30" spans="1:28" x14ac:dyDescent="0.2">
      <c r="A30" t="s">
        <v>222</v>
      </c>
      <c r="B30" s="54"/>
      <c r="D30" s="54"/>
    </row>
    <row r="31" spans="1:28" x14ac:dyDescent="0.2">
      <c r="A31" t="s">
        <v>223</v>
      </c>
    </row>
    <row r="32" spans="1:28" x14ac:dyDescent="0.2">
      <c r="A32" t="s">
        <v>236</v>
      </c>
    </row>
    <row r="33" spans="21:30" x14ac:dyDescent="0.2">
      <c r="U33" s="58"/>
      <c r="V33" s="58"/>
    </row>
    <row r="34" spans="21:30" x14ac:dyDescent="0.2">
      <c r="U34" s="58"/>
      <c r="V34" s="58"/>
      <c r="AD34" s="54"/>
    </row>
    <row r="35" spans="21:30" x14ac:dyDescent="0.2">
      <c r="U35" s="58"/>
      <c r="V35" s="58"/>
      <c r="AD35" s="54"/>
    </row>
    <row r="36" spans="21:30" x14ac:dyDescent="0.2">
      <c r="U36" s="58"/>
      <c r="V36" s="58"/>
      <c r="AD36" s="54"/>
    </row>
    <row r="37" spans="21:30" x14ac:dyDescent="0.2">
      <c r="U37" s="58"/>
      <c r="V37" s="58"/>
      <c r="AD37" s="54"/>
    </row>
    <row r="38" spans="21:30" x14ac:dyDescent="0.2">
      <c r="U38" s="58"/>
      <c r="V38" s="58"/>
      <c r="AD38" s="54"/>
    </row>
    <row r="39" spans="21:30" x14ac:dyDescent="0.2">
      <c r="U39" s="58"/>
      <c r="V39" s="58"/>
      <c r="AD39" s="54"/>
    </row>
    <row r="40" spans="21:30" x14ac:dyDescent="0.2">
      <c r="U40" s="58"/>
      <c r="V40" s="58"/>
      <c r="AD40" s="54"/>
    </row>
    <row r="41" spans="21:30" x14ac:dyDescent="0.2">
      <c r="U41" s="58"/>
      <c r="V41" s="58"/>
      <c r="AD41" s="54"/>
    </row>
    <row r="42" spans="21:30" x14ac:dyDescent="0.2">
      <c r="U42" s="58"/>
      <c r="V42" s="58"/>
      <c r="AD42" s="54"/>
    </row>
    <row r="43" spans="21:30" x14ac:dyDescent="0.2">
      <c r="U43" s="58"/>
      <c r="AD43" s="54"/>
    </row>
    <row r="44" spans="21:30" x14ac:dyDescent="0.2">
      <c r="U44" s="58"/>
      <c r="AD44" s="54"/>
    </row>
    <row r="45" spans="21:30" x14ac:dyDescent="0.2">
      <c r="U45" s="58"/>
      <c r="V45" s="58"/>
      <c r="AD45" s="54"/>
    </row>
    <row r="46" spans="21:30" x14ac:dyDescent="0.2">
      <c r="U46" s="58"/>
      <c r="V46" s="58"/>
      <c r="AD46" s="54"/>
    </row>
    <row r="47" spans="21:30" x14ac:dyDescent="0.2">
      <c r="U47" s="58"/>
      <c r="AD47" s="54"/>
    </row>
    <row r="48" spans="21:30" x14ac:dyDescent="0.2">
      <c r="U48" s="58"/>
      <c r="V48" s="58"/>
      <c r="AD48" s="54"/>
    </row>
    <row r="49" spans="21:30" x14ac:dyDescent="0.2">
      <c r="U49" s="58"/>
      <c r="V49" s="58"/>
      <c r="AD49" s="54"/>
    </row>
    <row r="50" spans="21:30" x14ac:dyDescent="0.2">
      <c r="U50" s="58"/>
      <c r="V50" s="58"/>
      <c r="AD50" s="54"/>
    </row>
    <row r="51" spans="21:30" x14ac:dyDescent="0.2">
      <c r="U51" s="58"/>
      <c r="AD51" s="54"/>
    </row>
    <row r="52" spans="21:30" x14ac:dyDescent="0.2">
      <c r="U52" s="58"/>
      <c r="AD52" s="54"/>
    </row>
    <row r="53" spans="21:30" x14ac:dyDescent="0.2">
      <c r="U53" s="58"/>
      <c r="V53" s="58"/>
      <c r="AD53" s="54"/>
    </row>
    <row r="54" spans="21:30" x14ac:dyDescent="0.2">
      <c r="U54" s="58"/>
      <c r="V54" s="58"/>
      <c r="AD54" s="54"/>
    </row>
    <row r="55" spans="21:30" x14ac:dyDescent="0.2">
      <c r="U55" s="58"/>
      <c r="V55" s="58"/>
      <c r="AD55" s="54"/>
    </row>
    <row r="56" spans="21:30" x14ac:dyDescent="0.2">
      <c r="U56" s="58"/>
      <c r="V56" s="58"/>
      <c r="AD56" s="54"/>
    </row>
    <row r="57" spans="21:30" x14ac:dyDescent="0.2">
      <c r="U57" s="58"/>
      <c r="V57" s="58"/>
      <c r="AD57" s="54"/>
    </row>
    <row r="58" spans="21:30" x14ac:dyDescent="0.2">
      <c r="U58" s="58"/>
      <c r="V58" s="58"/>
      <c r="AD58" s="54"/>
    </row>
    <row r="59" spans="21:30" x14ac:dyDescent="0.2">
      <c r="AD59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UE 2023 Distribution of ICT spe</vt:lpstr>
      <vt:lpstr>UE 2013-2023</vt:lpstr>
      <vt:lpstr>ILO UE  2022</vt:lpstr>
      <vt:lpstr>ILO UE 2014</vt:lpstr>
      <vt:lpstr>tertiary education students</vt:lpstr>
      <vt:lpstr>Female share</vt:lpstr>
      <vt:lpstr>'ILO UE  2022'!ilo_ue_cvs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MICHIELIN AURORA</dc:creator>
  <cp:lastModifiedBy>MICHIELIN AURORA</cp:lastModifiedBy>
  <dcterms:created xsi:type="dcterms:W3CDTF">2025-03-14T16:54:21Z</dcterms:created>
  <dcterms:modified xsi:type="dcterms:W3CDTF">2025-05-30T13:50:57Z</dcterms:modified>
</cp:coreProperties>
</file>